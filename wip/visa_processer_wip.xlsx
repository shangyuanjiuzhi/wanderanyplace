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uifeng/Desktop/"/>
    </mc:Choice>
  </mc:AlternateContent>
  <xr:revisionPtr revIDLastSave="0" documentId="13_ncr:1_{7A7A5216-3FC7-E64A-AF4B-5DBF81FED422}" xr6:coauthVersionLast="47" xr6:coauthVersionMax="47" xr10:uidLastSave="{00000000-0000-0000-0000-000000000000}"/>
  <bookViews>
    <workbookView xWindow="8660" yWindow="640" windowWidth="28560" windowHeight="17720" xr2:uid="{53D92D45-94C2-0D43-8DA2-32CB71BC4F21}"/>
  </bookViews>
  <sheets>
    <sheet name="Sheet1" sheetId="1" r:id="rId1"/>
  </sheets>
  <definedNames>
    <definedName name="_xlnm._FilterDatabase" localSheetId="0" hidden="1">Sheet1!$F$1:$O$164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9" i="1" l="1"/>
  <c r="L59" i="1" s="1"/>
  <c r="H58" i="1"/>
  <c r="L58" i="1" s="1"/>
  <c r="H40" i="1"/>
  <c r="L40" i="1" s="1"/>
  <c r="R67" i="1"/>
  <c r="J3" i="1"/>
  <c r="J5" i="1"/>
  <c r="J7" i="1"/>
  <c r="J8" i="1"/>
  <c r="J11" i="1"/>
  <c r="J13" i="1"/>
  <c r="J14" i="1"/>
  <c r="J15" i="1"/>
  <c r="J16" i="1"/>
  <c r="J17" i="1"/>
  <c r="J18" i="1"/>
  <c r="J19" i="1"/>
  <c r="J20" i="1"/>
  <c r="J21" i="1"/>
  <c r="J22" i="1"/>
  <c r="J23" i="1"/>
  <c r="J24" i="1"/>
  <c r="J26" i="1"/>
  <c r="J28" i="1"/>
  <c r="J29" i="1"/>
  <c r="J31" i="1"/>
  <c r="J32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8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7" i="1"/>
  <c r="J68" i="1"/>
  <c r="J70" i="1"/>
  <c r="J71" i="1"/>
  <c r="J72" i="1"/>
  <c r="J74" i="1"/>
  <c r="J75" i="1"/>
  <c r="J77" i="1"/>
  <c r="J78" i="1"/>
  <c r="J79" i="1"/>
  <c r="J82" i="1"/>
  <c r="J83" i="1"/>
  <c r="J84" i="1"/>
  <c r="J85" i="1"/>
  <c r="J86" i="1"/>
  <c r="J4" i="1"/>
  <c r="J6" i="1"/>
  <c r="J9" i="1"/>
  <c r="J10" i="1"/>
  <c r="J12" i="1"/>
  <c r="J25" i="1"/>
  <c r="J27" i="1"/>
  <c r="J30" i="1"/>
  <c r="J33" i="1"/>
  <c r="J47" i="1"/>
  <c r="J49" i="1"/>
  <c r="J65" i="1"/>
  <c r="J66" i="1"/>
  <c r="J69" i="1"/>
  <c r="J73" i="1"/>
  <c r="J76" i="1"/>
  <c r="J80" i="1"/>
  <c r="J81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2" i="1"/>
  <c r="G4" i="1"/>
  <c r="K4" i="1" s="1"/>
  <c r="G86" i="1"/>
  <c r="K86" i="1" s="1"/>
  <c r="G6" i="1"/>
  <c r="K6" i="1" s="1"/>
  <c r="G9" i="1"/>
  <c r="K9" i="1" s="1"/>
  <c r="G10" i="1"/>
  <c r="K10" i="1" s="1"/>
  <c r="G12" i="1"/>
  <c r="G25" i="1"/>
  <c r="K25" i="1" s="1"/>
  <c r="G27" i="1"/>
  <c r="K27" i="1" s="1"/>
  <c r="G30" i="1"/>
  <c r="K30" i="1" s="1"/>
  <c r="G33" i="1"/>
  <c r="G47" i="1"/>
  <c r="K47" i="1" s="1"/>
  <c r="G49" i="1"/>
  <c r="K49" i="1" s="1"/>
  <c r="G65" i="1"/>
  <c r="K65" i="1" s="1"/>
  <c r="G66" i="1"/>
  <c r="G69" i="1"/>
  <c r="G73" i="1"/>
  <c r="K73" i="1" s="1"/>
  <c r="G76" i="1"/>
  <c r="K76" i="1" s="1"/>
  <c r="G80" i="1"/>
  <c r="K80" i="1" s="1"/>
  <c r="G81" i="1"/>
  <c r="K81" i="1" s="1"/>
  <c r="G87" i="1"/>
  <c r="K87" i="1" s="1"/>
  <c r="I3" i="1"/>
  <c r="M3" i="1" s="1"/>
  <c r="I5" i="1"/>
  <c r="M5" i="1" s="1"/>
  <c r="I7" i="1"/>
  <c r="M7" i="1" s="1"/>
  <c r="I8" i="1"/>
  <c r="M8" i="1" s="1"/>
  <c r="I11" i="1"/>
  <c r="M11" i="1" s="1"/>
  <c r="I13" i="1"/>
  <c r="M13" i="1" s="1"/>
  <c r="I14" i="1"/>
  <c r="M14" i="1" s="1"/>
  <c r="I15" i="1"/>
  <c r="M15" i="1" s="1"/>
  <c r="I16" i="1"/>
  <c r="M16" i="1" s="1"/>
  <c r="I17" i="1"/>
  <c r="M17" i="1" s="1"/>
  <c r="I18" i="1"/>
  <c r="M18" i="1" s="1"/>
  <c r="I19" i="1"/>
  <c r="M19" i="1" s="1"/>
  <c r="I20" i="1"/>
  <c r="M20" i="1" s="1"/>
  <c r="I21" i="1"/>
  <c r="M21" i="1" s="1"/>
  <c r="I22" i="1"/>
  <c r="M22" i="1" s="1"/>
  <c r="I23" i="1"/>
  <c r="M23" i="1" s="1"/>
  <c r="I24" i="1"/>
  <c r="M24" i="1" s="1"/>
  <c r="I26" i="1"/>
  <c r="M26" i="1" s="1"/>
  <c r="I28" i="1"/>
  <c r="M28" i="1" s="1"/>
  <c r="I29" i="1"/>
  <c r="M29" i="1" s="1"/>
  <c r="I31" i="1"/>
  <c r="M31" i="1" s="1"/>
  <c r="I32" i="1"/>
  <c r="M32" i="1" s="1"/>
  <c r="I34" i="1"/>
  <c r="M34" i="1" s="1"/>
  <c r="I35" i="1"/>
  <c r="M35" i="1" s="1"/>
  <c r="I36" i="1"/>
  <c r="M36" i="1" s="1"/>
  <c r="I37" i="1"/>
  <c r="M37" i="1" s="1"/>
  <c r="I38" i="1"/>
  <c r="M38" i="1" s="1"/>
  <c r="I39" i="1"/>
  <c r="M39" i="1" s="1"/>
  <c r="I40" i="1"/>
  <c r="M40" i="1" s="1"/>
  <c r="I41" i="1"/>
  <c r="M41" i="1" s="1"/>
  <c r="I42" i="1"/>
  <c r="M42" i="1" s="1"/>
  <c r="I43" i="1"/>
  <c r="M43" i="1" s="1"/>
  <c r="I44" i="1"/>
  <c r="M44" i="1" s="1"/>
  <c r="I45" i="1"/>
  <c r="M45" i="1" s="1"/>
  <c r="I46" i="1"/>
  <c r="M46" i="1" s="1"/>
  <c r="I48" i="1"/>
  <c r="M48" i="1" s="1"/>
  <c r="I50" i="1"/>
  <c r="M50" i="1" s="1"/>
  <c r="I51" i="1"/>
  <c r="M51" i="1" s="1"/>
  <c r="I52" i="1"/>
  <c r="M52" i="1" s="1"/>
  <c r="I53" i="1"/>
  <c r="M53" i="1" s="1"/>
  <c r="I54" i="1"/>
  <c r="M54" i="1" s="1"/>
  <c r="I55" i="1"/>
  <c r="M55" i="1" s="1"/>
  <c r="I56" i="1"/>
  <c r="M56" i="1" s="1"/>
  <c r="I57" i="1"/>
  <c r="M57" i="1" s="1"/>
  <c r="I58" i="1"/>
  <c r="M58" i="1" s="1"/>
  <c r="I59" i="1"/>
  <c r="M59" i="1" s="1"/>
  <c r="I60" i="1"/>
  <c r="M60" i="1" s="1"/>
  <c r="I61" i="1"/>
  <c r="M61" i="1" s="1"/>
  <c r="I62" i="1"/>
  <c r="M62" i="1" s="1"/>
  <c r="I63" i="1"/>
  <c r="M63" i="1" s="1"/>
  <c r="I64" i="1"/>
  <c r="M64" i="1" s="1"/>
  <c r="I67" i="1"/>
  <c r="M67" i="1" s="1"/>
  <c r="I68" i="1"/>
  <c r="M68" i="1" s="1"/>
  <c r="I70" i="1"/>
  <c r="M70" i="1" s="1"/>
  <c r="I71" i="1"/>
  <c r="M71" i="1" s="1"/>
  <c r="I72" i="1"/>
  <c r="M72" i="1" s="1"/>
  <c r="I74" i="1"/>
  <c r="M74" i="1" s="1"/>
  <c r="I75" i="1"/>
  <c r="M75" i="1" s="1"/>
  <c r="I77" i="1"/>
  <c r="M77" i="1" s="1"/>
  <c r="I78" i="1"/>
  <c r="M78" i="1" s="1"/>
  <c r="I79" i="1"/>
  <c r="M79" i="1" s="1"/>
  <c r="I82" i="1"/>
  <c r="M82" i="1" s="1"/>
  <c r="I83" i="1"/>
  <c r="M83" i="1" s="1"/>
  <c r="I84" i="1"/>
  <c r="M84" i="1" s="1"/>
  <c r="I85" i="1"/>
  <c r="M85" i="1" s="1"/>
  <c r="I86" i="1"/>
  <c r="M86" i="1" s="1"/>
  <c r="I4" i="1"/>
  <c r="M4" i="1" s="1"/>
  <c r="I6" i="1"/>
  <c r="M6" i="1" s="1"/>
  <c r="I9" i="1"/>
  <c r="M9" i="1" s="1"/>
  <c r="I10" i="1"/>
  <c r="M10" i="1" s="1"/>
  <c r="I12" i="1"/>
  <c r="M12" i="1" s="1"/>
  <c r="I25" i="1"/>
  <c r="M25" i="1" s="1"/>
  <c r="I27" i="1"/>
  <c r="M27" i="1" s="1"/>
  <c r="I30" i="1"/>
  <c r="M30" i="1" s="1"/>
  <c r="I33" i="1"/>
  <c r="M33" i="1" s="1"/>
  <c r="I47" i="1"/>
  <c r="M47" i="1" s="1"/>
  <c r="I49" i="1"/>
  <c r="M49" i="1" s="1"/>
  <c r="I65" i="1"/>
  <c r="M65" i="1" s="1"/>
  <c r="I66" i="1"/>
  <c r="M66" i="1" s="1"/>
  <c r="I69" i="1"/>
  <c r="M69" i="1" s="1"/>
  <c r="I73" i="1"/>
  <c r="M73" i="1" s="1"/>
  <c r="I76" i="1"/>
  <c r="M76" i="1" s="1"/>
  <c r="I80" i="1"/>
  <c r="M80" i="1" s="1"/>
  <c r="I81" i="1"/>
  <c r="M81" i="1" s="1"/>
  <c r="I87" i="1"/>
  <c r="M87" i="1" s="1"/>
  <c r="I88" i="1"/>
  <c r="M88" i="1" s="1"/>
  <c r="I89" i="1"/>
  <c r="M89" i="1" s="1"/>
  <c r="I90" i="1"/>
  <c r="M90" i="1" s="1"/>
  <c r="I91" i="1"/>
  <c r="M91" i="1" s="1"/>
  <c r="I92" i="1"/>
  <c r="M92" i="1" s="1"/>
  <c r="I93" i="1"/>
  <c r="M93" i="1" s="1"/>
  <c r="I94" i="1"/>
  <c r="M94" i="1" s="1"/>
  <c r="I95" i="1"/>
  <c r="M95" i="1" s="1"/>
  <c r="I96" i="1"/>
  <c r="M96" i="1" s="1"/>
  <c r="I97" i="1"/>
  <c r="M97" i="1" s="1"/>
  <c r="I98" i="1"/>
  <c r="M98" i="1" s="1"/>
  <c r="I99" i="1"/>
  <c r="M99" i="1" s="1"/>
  <c r="I100" i="1"/>
  <c r="M100" i="1" s="1"/>
  <c r="I101" i="1"/>
  <c r="M101" i="1" s="1"/>
  <c r="I102" i="1"/>
  <c r="M102" i="1" s="1"/>
  <c r="I103" i="1"/>
  <c r="M103" i="1" s="1"/>
  <c r="I104" i="1"/>
  <c r="M104" i="1" s="1"/>
  <c r="I105" i="1"/>
  <c r="M105" i="1" s="1"/>
  <c r="I106" i="1"/>
  <c r="M106" i="1" s="1"/>
  <c r="I107" i="1"/>
  <c r="M107" i="1" s="1"/>
  <c r="I108" i="1"/>
  <c r="M108" i="1" s="1"/>
  <c r="I109" i="1"/>
  <c r="M109" i="1" s="1"/>
  <c r="I110" i="1"/>
  <c r="M110" i="1" s="1"/>
  <c r="I111" i="1"/>
  <c r="M111" i="1" s="1"/>
  <c r="I112" i="1"/>
  <c r="M112" i="1" s="1"/>
  <c r="I113" i="1"/>
  <c r="M113" i="1" s="1"/>
  <c r="I114" i="1"/>
  <c r="M114" i="1" s="1"/>
  <c r="I115" i="1"/>
  <c r="M115" i="1" s="1"/>
  <c r="I116" i="1"/>
  <c r="M116" i="1" s="1"/>
  <c r="I117" i="1"/>
  <c r="M117" i="1" s="1"/>
  <c r="I118" i="1"/>
  <c r="M118" i="1" s="1"/>
  <c r="I119" i="1"/>
  <c r="M119" i="1" s="1"/>
  <c r="I120" i="1"/>
  <c r="M120" i="1" s="1"/>
  <c r="I121" i="1"/>
  <c r="M121" i="1" s="1"/>
  <c r="I122" i="1"/>
  <c r="M122" i="1" s="1"/>
  <c r="I123" i="1"/>
  <c r="M123" i="1" s="1"/>
  <c r="I124" i="1"/>
  <c r="M124" i="1" s="1"/>
  <c r="I125" i="1"/>
  <c r="M125" i="1" s="1"/>
  <c r="I126" i="1"/>
  <c r="M126" i="1" s="1"/>
  <c r="I127" i="1"/>
  <c r="M127" i="1" s="1"/>
  <c r="I128" i="1"/>
  <c r="M128" i="1" s="1"/>
  <c r="I129" i="1"/>
  <c r="M129" i="1" s="1"/>
  <c r="I130" i="1"/>
  <c r="M130" i="1" s="1"/>
  <c r="I131" i="1"/>
  <c r="M131" i="1" s="1"/>
  <c r="I132" i="1"/>
  <c r="M132" i="1" s="1"/>
  <c r="I133" i="1"/>
  <c r="M133" i="1" s="1"/>
  <c r="I134" i="1"/>
  <c r="M134" i="1" s="1"/>
  <c r="I135" i="1"/>
  <c r="M135" i="1" s="1"/>
  <c r="I136" i="1"/>
  <c r="M136" i="1" s="1"/>
  <c r="I137" i="1"/>
  <c r="M137" i="1" s="1"/>
  <c r="I138" i="1"/>
  <c r="M138" i="1" s="1"/>
  <c r="I139" i="1"/>
  <c r="M139" i="1" s="1"/>
  <c r="I140" i="1"/>
  <c r="M140" i="1" s="1"/>
  <c r="I141" i="1"/>
  <c r="M141" i="1" s="1"/>
  <c r="I142" i="1"/>
  <c r="M142" i="1" s="1"/>
  <c r="I143" i="1"/>
  <c r="M143" i="1" s="1"/>
  <c r="I144" i="1"/>
  <c r="M144" i="1" s="1"/>
  <c r="I145" i="1"/>
  <c r="M145" i="1" s="1"/>
  <c r="I146" i="1"/>
  <c r="M146" i="1" s="1"/>
  <c r="I147" i="1"/>
  <c r="M147" i="1" s="1"/>
  <c r="I148" i="1"/>
  <c r="M148" i="1" s="1"/>
  <c r="I149" i="1"/>
  <c r="M149" i="1" s="1"/>
  <c r="I150" i="1"/>
  <c r="M150" i="1" s="1"/>
  <c r="I151" i="1"/>
  <c r="M151" i="1" s="1"/>
  <c r="I152" i="1"/>
  <c r="M152" i="1" s="1"/>
  <c r="I153" i="1"/>
  <c r="M153" i="1" s="1"/>
  <c r="I154" i="1"/>
  <c r="M154" i="1" s="1"/>
  <c r="I155" i="1"/>
  <c r="M155" i="1" s="1"/>
  <c r="I156" i="1"/>
  <c r="M156" i="1" s="1"/>
  <c r="I157" i="1"/>
  <c r="M157" i="1" s="1"/>
  <c r="I158" i="1"/>
  <c r="M158" i="1" s="1"/>
  <c r="I159" i="1"/>
  <c r="M159" i="1" s="1"/>
  <c r="I160" i="1"/>
  <c r="M160" i="1" s="1"/>
  <c r="I161" i="1"/>
  <c r="M161" i="1" s="1"/>
  <c r="I162" i="1"/>
  <c r="M162" i="1" s="1"/>
  <c r="I163" i="1"/>
  <c r="M163" i="1" s="1"/>
  <c r="I164" i="1"/>
  <c r="M164" i="1" s="1"/>
  <c r="I2" i="1"/>
  <c r="M2" i="1" s="1"/>
  <c r="H3" i="1"/>
  <c r="L3" i="1" s="1"/>
  <c r="H5" i="1"/>
  <c r="L5" i="1" s="1"/>
  <c r="H7" i="1"/>
  <c r="L7" i="1" s="1"/>
  <c r="H8" i="1"/>
  <c r="L8" i="1" s="1"/>
  <c r="H11" i="1"/>
  <c r="L11" i="1" s="1"/>
  <c r="H13" i="1"/>
  <c r="L13" i="1" s="1"/>
  <c r="H14" i="1"/>
  <c r="L14" i="1" s="1"/>
  <c r="H15" i="1"/>
  <c r="L15" i="1" s="1"/>
  <c r="H16" i="1"/>
  <c r="L16" i="1" s="1"/>
  <c r="H17" i="1"/>
  <c r="L17" i="1" s="1"/>
  <c r="H18" i="1"/>
  <c r="L18" i="1" s="1"/>
  <c r="H19" i="1"/>
  <c r="L19" i="1" s="1"/>
  <c r="H20" i="1"/>
  <c r="L20" i="1" s="1"/>
  <c r="H21" i="1"/>
  <c r="L21" i="1" s="1"/>
  <c r="H22" i="1"/>
  <c r="L22" i="1" s="1"/>
  <c r="H23" i="1"/>
  <c r="L23" i="1" s="1"/>
  <c r="H24" i="1"/>
  <c r="L24" i="1" s="1"/>
  <c r="H26" i="1"/>
  <c r="L26" i="1" s="1"/>
  <c r="H28" i="1"/>
  <c r="L28" i="1" s="1"/>
  <c r="H29" i="1"/>
  <c r="L29" i="1" s="1"/>
  <c r="H31" i="1"/>
  <c r="L31" i="1" s="1"/>
  <c r="H32" i="1"/>
  <c r="L32" i="1" s="1"/>
  <c r="H34" i="1"/>
  <c r="L34" i="1" s="1"/>
  <c r="H35" i="1"/>
  <c r="L35" i="1" s="1"/>
  <c r="H36" i="1"/>
  <c r="L36" i="1" s="1"/>
  <c r="H37" i="1"/>
  <c r="L37" i="1" s="1"/>
  <c r="H38" i="1"/>
  <c r="L38" i="1" s="1"/>
  <c r="H39" i="1"/>
  <c r="L39" i="1" s="1"/>
  <c r="H41" i="1"/>
  <c r="L41" i="1" s="1"/>
  <c r="H42" i="1"/>
  <c r="L42" i="1" s="1"/>
  <c r="H43" i="1"/>
  <c r="L43" i="1" s="1"/>
  <c r="H44" i="1"/>
  <c r="L44" i="1" s="1"/>
  <c r="H45" i="1"/>
  <c r="L45" i="1" s="1"/>
  <c r="H46" i="1"/>
  <c r="L46" i="1" s="1"/>
  <c r="H48" i="1"/>
  <c r="L48" i="1" s="1"/>
  <c r="H50" i="1"/>
  <c r="L50" i="1" s="1"/>
  <c r="H51" i="1"/>
  <c r="L51" i="1" s="1"/>
  <c r="H52" i="1"/>
  <c r="L52" i="1" s="1"/>
  <c r="H53" i="1"/>
  <c r="L53" i="1" s="1"/>
  <c r="H54" i="1"/>
  <c r="L54" i="1" s="1"/>
  <c r="H55" i="1"/>
  <c r="L55" i="1" s="1"/>
  <c r="H56" i="1"/>
  <c r="L56" i="1" s="1"/>
  <c r="H57" i="1"/>
  <c r="L57" i="1" s="1"/>
  <c r="H60" i="1"/>
  <c r="L60" i="1" s="1"/>
  <c r="H61" i="1"/>
  <c r="L61" i="1" s="1"/>
  <c r="H62" i="1"/>
  <c r="L62" i="1" s="1"/>
  <c r="H63" i="1"/>
  <c r="L63" i="1" s="1"/>
  <c r="H64" i="1"/>
  <c r="L64" i="1" s="1"/>
  <c r="H67" i="1"/>
  <c r="L67" i="1" s="1"/>
  <c r="H68" i="1"/>
  <c r="L68" i="1" s="1"/>
  <c r="H70" i="1"/>
  <c r="L70" i="1" s="1"/>
  <c r="H71" i="1"/>
  <c r="L71" i="1" s="1"/>
  <c r="H72" i="1"/>
  <c r="L72" i="1" s="1"/>
  <c r="H74" i="1"/>
  <c r="L74" i="1" s="1"/>
  <c r="H75" i="1"/>
  <c r="L75" i="1" s="1"/>
  <c r="H77" i="1"/>
  <c r="L77" i="1" s="1"/>
  <c r="H78" i="1"/>
  <c r="L78" i="1" s="1"/>
  <c r="H79" i="1"/>
  <c r="L79" i="1" s="1"/>
  <c r="H82" i="1"/>
  <c r="L82" i="1" s="1"/>
  <c r="H83" i="1"/>
  <c r="L83" i="1" s="1"/>
  <c r="H84" i="1"/>
  <c r="L84" i="1" s="1"/>
  <c r="H85" i="1"/>
  <c r="L85" i="1" s="1"/>
  <c r="H86" i="1"/>
  <c r="L86" i="1" s="1"/>
  <c r="H4" i="1"/>
  <c r="L4" i="1" s="1"/>
  <c r="H6" i="1"/>
  <c r="L6" i="1" s="1"/>
  <c r="H9" i="1"/>
  <c r="L9" i="1" s="1"/>
  <c r="H10" i="1"/>
  <c r="L10" i="1" s="1"/>
  <c r="H12" i="1"/>
  <c r="L12" i="1" s="1"/>
  <c r="H25" i="1"/>
  <c r="L25" i="1" s="1"/>
  <c r="H27" i="1"/>
  <c r="L27" i="1" s="1"/>
  <c r="H30" i="1"/>
  <c r="L30" i="1" s="1"/>
  <c r="H33" i="1"/>
  <c r="L33" i="1" s="1"/>
  <c r="H47" i="1"/>
  <c r="L47" i="1" s="1"/>
  <c r="H49" i="1"/>
  <c r="L49" i="1" s="1"/>
  <c r="H65" i="1"/>
  <c r="L65" i="1" s="1"/>
  <c r="H66" i="1"/>
  <c r="L66" i="1" s="1"/>
  <c r="H69" i="1"/>
  <c r="L69" i="1" s="1"/>
  <c r="H73" i="1"/>
  <c r="L73" i="1" s="1"/>
  <c r="H76" i="1"/>
  <c r="L76" i="1" s="1"/>
  <c r="H80" i="1"/>
  <c r="L80" i="1" s="1"/>
  <c r="H81" i="1"/>
  <c r="L81" i="1" s="1"/>
  <c r="H87" i="1"/>
  <c r="L87" i="1" s="1"/>
  <c r="H88" i="1"/>
  <c r="L88" i="1" s="1"/>
  <c r="H89" i="1"/>
  <c r="L89" i="1" s="1"/>
  <c r="H90" i="1"/>
  <c r="L90" i="1" s="1"/>
  <c r="H91" i="1"/>
  <c r="L91" i="1" s="1"/>
  <c r="H92" i="1"/>
  <c r="L92" i="1" s="1"/>
  <c r="H93" i="1"/>
  <c r="L93" i="1" s="1"/>
  <c r="H94" i="1"/>
  <c r="L94" i="1" s="1"/>
  <c r="H95" i="1"/>
  <c r="L95" i="1" s="1"/>
  <c r="H96" i="1"/>
  <c r="L96" i="1" s="1"/>
  <c r="H97" i="1"/>
  <c r="L97" i="1" s="1"/>
  <c r="H98" i="1"/>
  <c r="L98" i="1" s="1"/>
  <c r="H99" i="1"/>
  <c r="L99" i="1" s="1"/>
  <c r="H100" i="1"/>
  <c r="L100" i="1" s="1"/>
  <c r="H101" i="1"/>
  <c r="L101" i="1" s="1"/>
  <c r="H102" i="1"/>
  <c r="L102" i="1" s="1"/>
  <c r="H103" i="1"/>
  <c r="L103" i="1" s="1"/>
  <c r="H104" i="1"/>
  <c r="L104" i="1" s="1"/>
  <c r="H105" i="1"/>
  <c r="L105" i="1" s="1"/>
  <c r="H106" i="1"/>
  <c r="L106" i="1" s="1"/>
  <c r="H107" i="1"/>
  <c r="L107" i="1" s="1"/>
  <c r="H108" i="1"/>
  <c r="L108" i="1" s="1"/>
  <c r="H109" i="1"/>
  <c r="L109" i="1" s="1"/>
  <c r="H110" i="1"/>
  <c r="L110" i="1" s="1"/>
  <c r="H111" i="1"/>
  <c r="L111" i="1" s="1"/>
  <c r="H112" i="1"/>
  <c r="L112" i="1" s="1"/>
  <c r="H113" i="1"/>
  <c r="L113" i="1" s="1"/>
  <c r="H114" i="1"/>
  <c r="L114" i="1" s="1"/>
  <c r="H115" i="1"/>
  <c r="L115" i="1" s="1"/>
  <c r="H116" i="1"/>
  <c r="L116" i="1" s="1"/>
  <c r="H117" i="1"/>
  <c r="L117" i="1" s="1"/>
  <c r="H118" i="1"/>
  <c r="L118" i="1" s="1"/>
  <c r="H119" i="1"/>
  <c r="L119" i="1" s="1"/>
  <c r="H120" i="1"/>
  <c r="L120" i="1" s="1"/>
  <c r="H121" i="1"/>
  <c r="L121" i="1" s="1"/>
  <c r="H122" i="1"/>
  <c r="L122" i="1" s="1"/>
  <c r="H123" i="1"/>
  <c r="L123" i="1" s="1"/>
  <c r="H124" i="1"/>
  <c r="L124" i="1" s="1"/>
  <c r="H125" i="1"/>
  <c r="L125" i="1" s="1"/>
  <c r="H126" i="1"/>
  <c r="L126" i="1" s="1"/>
  <c r="H127" i="1"/>
  <c r="L127" i="1" s="1"/>
  <c r="H128" i="1"/>
  <c r="L128" i="1" s="1"/>
  <c r="H129" i="1"/>
  <c r="L129" i="1" s="1"/>
  <c r="H130" i="1"/>
  <c r="L130" i="1" s="1"/>
  <c r="H131" i="1"/>
  <c r="L131" i="1" s="1"/>
  <c r="H132" i="1"/>
  <c r="L132" i="1" s="1"/>
  <c r="H133" i="1"/>
  <c r="L133" i="1" s="1"/>
  <c r="H134" i="1"/>
  <c r="L134" i="1" s="1"/>
  <c r="H135" i="1"/>
  <c r="L135" i="1" s="1"/>
  <c r="H136" i="1"/>
  <c r="L136" i="1" s="1"/>
  <c r="H137" i="1"/>
  <c r="L137" i="1" s="1"/>
  <c r="H138" i="1"/>
  <c r="L138" i="1" s="1"/>
  <c r="H139" i="1"/>
  <c r="L139" i="1" s="1"/>
  <c r="H140" i="1"/>
  <c r="L140" i="1" s="1"/>
  <c r="H141" i="1"/>
  <c r="L141" i="1" s="1"/>
  <c r="H142" i="1"/>
  <c r="L142" i="1" s="1"/>
  <c r="H143" i="1"/>
  <c r="L143" i="1" s="1"/>
  <c r="H144" i="1"/>
  <c r="L144" i="1" s="1"/>
  <c r="H145" i="1"/>
  <c r="L145" i="1" s="1"/>
  <c r="H146" i="1"/>
  <c r="L146" i="1" s="1"/>
  <c r="H147" i="1"/>
  <c r="L147" i="1" s="1"/>
  <c r="H148" i="1"/>
  <c r="L148" i="1" s="1"/>
  <c r="H149" i="1"/>
  <c r="L149" i="1" s="1"/>
  <c r="H150" i="1"/>
  <c r="L150" i="1" s="1"/>
  <c r="H151" i="1"/>
  <c r="L151" i="1" s="1"/>
  <c r="H152" i="1"/>
  <c r="L152" i="1" s="1"/>
  <c r="H153" i="1"/>
  <c r="L153" i="1" s="1"/>
  <c r="H154" i="1"/>
  <c r="L154" i="1" s="1"/>
  <c r="H155" i="1"/>
  <c r="L155" i="1" s="1"/>
  <c r="H156" i="1"/>
  <c r="L156" i="1" s="1"/>
  <c r="H157" i="1"/>
  <c r="L157" i="1" s="1"/>
  <c r="H158" i="1"/>
  <c r="L158" i="1" s="1"/>
  <c r="H159" i="1"/>
  <c r="L159" i="1" s="1"/>
  <c r="H160" i="1"/>
  <c r="L160" i="1" s="1"/>
  <c r="H161" i="1"/>
  <c r="L161" i="1" s="1"/>
  <c r="H162" i="1"/>
  <c r="L162" i="1" s="1"/>
  <c r="H163" i="1"/>
  <c r="L163" i="1" s="1"/>
  <c r="H164" i="1"/>
  <c r="L164" i="1" s="1"/>
  <c r="H2" i="1"/>
  <c r="L2" i="1" s="1"/>
  <c r="G3" i="1"/>
  <c r="K3" i="1" s="1"/>
  <c r="G5" i="1"/>
  <c r="K5" i="1" s="1"/>
  <c r="G7" i="1"/>
  <c r="K7" i="1" s="1"/>
  <c r="G8" i="1"/>
  <c r="K8" i="1" s="1"/>
  <c r="G11" i="1"/>
  <c r="K11" i="1" s="1"/>
  <c r="G13" i="1"/>
  <c r="G14" i="1"/>
  <c r="K14" i="1" s="1"/>
  <c r="G15" i="1"/>
  <c r="K15" i="1" s="1"/>
  <c r="G16" i="1"/>
  <c r="K16" i="1" s="1"/>
  <c r="G17" i="1"/>
  <c r="K17" i="1" s="1"/>
  <c r="G18" i="1"/>
  <c r="K18" i="1" s="1"/>
  <c r="G19" i="1"/>
  <c r="K19" i="1" s="1"/>
  <c r="G20" i="1"/>
  <c r="K20" i="1" s="1"/>
  <c r="G21" i="1"/>
  <c r="K21" i="1" s="1"/>
  <c r="G22" i="1"/>
  <c r="K22" i="1" s="1"/>
  <c r="G23" i="1"/>
  <c r="K23" i="1" s="1"/>
  <c r="G24" i="1"/>
  <c r="K24" i="1" s="1"/>
  <c r="G26" i="1"/>
  <c r="K26" i="1" s="1"/>
  <c r="G28" i="1"/>
  <c r="K28" i="1" s="1"/>
  <c r="G29" i="1"/>
  <c r="K29" i="1" s="1"/>
  <c r="G31" i="1"/>
  <c r="K31" i="1" s="1"/>
  <c r="G32" i="1"/>
  <c r="K32" i="1" s="1"/>
  <c r="G34" i="1"/>
  <c r="K34" i="1" s="1"/>
  <c r="G35" i="1"/>
  <c r="K35" i="1" s="1"/>
  <c r="G36" i="1"/>
  <c r="K36" i="1" s="1"/>
  <c r="G37" i="1"/>
  <c r="K37" i="1" s="1"/>
  <c r="G38" i="1"/>
  <c r="K38" i="1" s="1"/>
  <c r="G39" i="1"/>
  <c r="K39" i="1" s="1"/>
  <c r="G40" i="1"/>
  <c r="K40" i="1" s="1"/>
  <c r="G41" i="1"/>
  <c r="K41" i="1" s="1"/>
  <c r="G42" i="1"/>
  <c r="K42" i="1" s="1"/>
  <c r="G43" i="1"/>
  <c r="K43" i="1" s="1"/>
  <c r="G44" i="1"/>
  <c r="K44" i="1" s="1"/>
  <c r="G45" i="1"/>
  <c r="K45" i="1" s="1"/>
  <c r="G46" i="1"/>
  <c r="K46" i="1" s="1"/>
  <c r="G48" i="1"/>
  <c r="K48" i="1" s="1"/>
  <c r="G50" i="1"/>
  <c r="K50" i="1" s="1"/>
  <c r="G51" i="1"/>
  <c r="K51" i="1" s="1"/>
  <c r="G52" i="1"/>
  <c r="K52" i="1" s="1"/>
  <c r="G53" i="1"/>
  <c r="K53" i="1" s="1"/>
  <c r="G54" i="1"/>
  <c r="K54" i="1" s="1"/>
  <c r="G55" i="1"/>
  <c r="K55" i="1" s="1"/>
  <c r="G56" i="1"/>
  <c r="K56" i="1" s="1"/>
  <c r="G57" i="1"/>
  <c r="K57" i="1" s="1"/>
  <c r="G58" i="1"/>
  <c r="K58" i="1" s="1"/>
  <c r="G59" i="1"/>
  <c r="K59" i="1" s="1"/>
  <c r="G60" i="1"/>
  <c r="K60" i="1" s="1"/>
  <c r="G61" i="1"/>
  <c r="K61" i="1" s="1"/>
  <c r="G62" i="1"/>
  <c r="K62" i="1" s="1"/>
  <c r="G63" i="1"/>
  <c r="K63" i="1" s="1"/>
  <c r="G64" i="1"/>
  <c r="K64" i="1" s="1"/>
  <c r="G67" i="1"/>
  <c r="K67" i="1" s="1"/>
  <c r="G68" i="1"/>
  <c r="K68" i="1" s="1"/>
  <c r="G70" i="1"/>
  <c r="K70" i="1" s="1"/>
  <c r="G71" i="1"/>
  <c r="K71" i="1" s="1"/>
  <c r="G72" i="1"/>
  <c r="K72" i="1" s="1"/>
  <c r="G74" i="1"/>
  <c r="K74" i="1" s="1"/>
  <c r="G75" i="1"/>
  <c r="K75" i="1" s="1"/>
  <c r="G77" i="1"/>
  <c r="K77" i="1" s="1"/>
  <c r="G78" i="1"/>
  <c r="K78" i="1" s="1"/>
  <c r="G79" i="1"/>
  <c r="K79" i="1" s="1"/>
  <c r="G82" i="1"/>
  <c r="K82" i="1" s="1"/>
  <c r="G83" i="1"/>
  <c r="K83" i="1" s="1"/>
  <c r="G84" i="1"/>
  <c r="K84" i="1" s="1"/>
  <c r="G85" i="1"/>
  <c r="K85" i="1" s="1"/>
  <c r="G88" i="1"/>
  <c r="K88" i="1" s="1"/>
  <c r="G89" i="1"/>
  <c r="K89" i="1" s="1"/>
  <c r="G90" i="1"/>
  <c r="K90" i="1" s="1"/>
  <c r="G91" i="1"/>
  <c r="K91" i="1" s="1"/>
  <c r="G92" i="1"/>
  <c r="K92" i="1" s="1"/>
  <c r="G93" i="1"/>
  <c r="K93" i="1" s="1"/>
  <c r="G94" i="1"/>
  <c r="K94" i="1" s="1"/>
  <c r="G95" i="1"/>
  <c r="K95" i="1" s="1"/>
  <c r="G96" i="1"/>
  <c r="K96" i="1" s="1"/>
  <c r="G97" i="1"/>
  <c r="K97" i="1" s="1"/>
  <c r="G98" i="1"/>
  <c r="K98" i="1" s="1"/>
  <c r="G99" i="1"/>
  <c r="K99" i="1" s="1"/>
  <c r="G100" i="1"/>
  <c r="K100" i="1" s="1"/>
  <c r="G101" i="1"/>
  <c r="K101" i="1" s="1"/>
  <c r="G102" i="1"/>
  <c r="K102" i="1" s="1"/>
  <c r="G103" i="1"/>
  <c r="K103" i="1" s="1"/>
  <c r="G104" i="1"/>
  <c r="K104" i="1" s="1"/>
  <c r="G105" i="1"/>
  <c r="K105" i="1" s="1"/>
  <c r="G106" i="1"/>
  <c r="K106" i="1" s="1"/>
  <c r="G107" i="1"/>
  <c r="K107" i="1" s="1"/>
  <c r="G108" i="1"/>
  <c r="K108" i="1" s="1"/>
  <c r="G109" i="1"/>
  <c r="K109" i="1" s="1"/>
  <c r="G110" i="1"/>
  <c r="K110" i="1" s="1"/>
  <c r="G111" i="1"/>
  <c r="K111" i="1" s="1"/>
  <c r="G112" i="1"/>
  <c r="K112" i="1" s="1"/>
  <c r="G113" i="1"/>
  <c r="K113" i="1" s="1"/>
  <c r="G114" i="1"/>
  <c r="K114" i="1" s="1"/>
  <c r="G115" i="1"/>
  <c r="K115" i="1" s="1"/>
  <c r="G116" i="1"/>
  <c r="K116" i="1" s="1"/>
  <c r="G117" i="1"/>
  <c r="K117" i="1" s="1"/>
  <c r="G118" i="1"/>
  <c r="K118" i="1" s="1"/>
  <c r="G119" i="1"/>
  <c r="K119" i="1" s="1"/>
  <c r="G120" i="1"/>
  <c r="K120" i="1" s="1"/>
  <c r="G121" i="1"/>
  <c r="K121" i="1" s="1"/>
  <c r="G122" i="1"/>
  <c r="K122" i="1" s="1"/>
  <c r="G123" i="1"/>
  <c r="K123" i="1" s="1"/>
  <c r="G124" i="1"/>
  <c r="K124" i="1" s="1"/>
  <c r="G125" i="1"/>
  <c r="K125" i="1" s="1"/>
  <c r="G126" i="1"/>
  <c r="K126" i="1" s="1"/>
  <c r="G127" i="1"/>
  <c r="K127" i="1" s="1"/>
  <c r="G128" i="1"/>
  <c r="K128" i="1" s="1"/>
  <c r="G129" i="1"/>
  <c r="K129" i="1" s="1"/>
  <c r="G130" i="1"/>
  <c r="K130" i="1" s="1"/>
  <c r="G131" i="1"/>
  <c r="K131" i="1" s="1"/>
  <c r="G132" i="1"/>
  <c r="K132" i="1" s="1"/>
  <c r="G133" i="1"/>
  <c r="K133" i="1" s="1"/>
  <c r="G134" i="1"/>
  <c r="K134" i="1" s="1"/>
  <c r="G135" i="1"/>
  <c r="K135" i="1" s="1"/>
  <c r="G136" i="1"/>
  <c r="K136" i="1" s="1"/>
  <c r="G137" i="1"/>
  <c r="K137" i="1" s="1"/>
  <c r="G138" i="1"/>
  <c r="K138" i="1" s="1"/>
  <c r="G139" i="1"/>
  <c r="K139" i="1" s="1"/>
  <c r="G140" i="1"/>
  <c r="K140" i="1" s="1"/>
  <c r="G141" i="1"/>
  <c r="K141" i="1" s="1"/>
  <c r="G142" i="1"/>
  <c r="K142" i="1" s="1"/>
  <c r="G143" i="1"/>
  <c r="K143" i="1" s="1"/>
  <c r="G144" i="1"/>
  <c r="K144" i="1" s="1"/>
  <c r="G145" i="1"/>
  <c r="K145" i="1" s="1"/>
  <c r="G146" i="1"/>
  <c r="K146" i="1" s="1"/>
  <c r="G147" i="1"/>
  <c r="K147" i="1" s="1"/>
  <c r="G148" i="1"/>
  <c r="K148" i="1" s="1"/>
  <c r="G149" i="1"/>
  <c r="K149" i="1" s="1"/>
  <c r="G150" i="1"/>
  <c r="K150" i="1" s="1"/>
  <c r="G151" i="1"/>
  <c r="K151" i="1" s="1"/>
  <c r="G152" i="1"/>
  <c r="K152" i="1" s="1"/>
  <c r="G153" i="1"/>
  <c r="K153" i="1" s="1"/>
  <c r="G154" i="1"/>
  <c r="K154" i="1" s="1"/>
  <c r="G155" i="1"/>
  <c r="K155" i="1" s="1"/>
  <c r="G156" i="1"/>
  <c r="K156" i="1" s="1"/>
  <c r="G157" i="1"/>
  <c r="K157" i="1" s="1"/>
  <c r="G158" i="1"/>
  <c r="K158" i="1" s="1"/>
  <c r="G159" i="1"/>
  <c r="K159" i="1" s="1"/>
  <c r="G160" i="1"/>
  <c r="K160" i="1" s="1"/>
  <c r="G161" i="1"/>
  <c r="K161" i="1" s="1"/>
  <c r="G162" i="1"/>
  <c r="K162" i="1" s="1"/>
  <c r="G163" i="1"/>
  <c r="K163" i="1" s="1"/>
  <c r="G164" i="1"/>
  <c r="K164" i="1" s="1"/>
  <c r="G2" i="1"/>
  <c r="K2" i="1" s="1"/>
  <c r="K69" i="1" l="1"/>
  <c r="K66" i="1"/>
  <c r="K33" i="1"/>
  <c r="K13" i="1"/>
  <c r="K12" i="1"/>
</calcChain>
</file>

<file path=xl/sharedStrings.xml><?xml version="1.0" encoding="utf-8"?>
<sst xmlns="http://schemas.openxmlformats.org/spreadsheetml/2006/main" count="382" uniqueCount="105">
  <si>
    <t>France</t>
  </si>
  <si>
    <t>Germany</t>
  </si>
  <si>
    <t>Italy</t>
  </si>
  <si>
    <t>Netherlands</t>
  </si>
  <si>
    <t>Spain</t>
  </si>
  <si>
    <t>Switzerland</t>
  </si>
  <si>
    <t>Ireland</t>
  </si>
  <si>
    <t>Hungary</t>
  </si>
  <si>
    <t>Austria</t>
  </si>
  <si>
    <t>Belgium</t>
  </si>
  <si>
    <t>Luxembourg</t>
  </si>
  <si>
    <t>Poland</t>
  </si>
  <si>
    <t>Slovenia</t>
  </si>
  <si>
    <t>Portugal</t>
  </si>
  <si>
    <t>Greece</t>
  </si>
  <si>
    <t>Cyprus</t>
  </si>
  <si>
    <t>Slovakia</t>
  </si>
  <si>
    <t>Norway</t>
  </si>
  <si>
    <t>Finland</t>
  </si>
  <si>
    <t>Denmark</t>
  </si>
  <si>
    <t>Iceland</t>
  </si>
  <si>
    <t>Andorra</t>
  </si>
  <si>
    <t>Monaco</t>
  </si>
  <si>
    <t>Liechtenstein</t>
  </si>
  <si>
    <t>Bulgaria</t>
  </si>
  <si>
    <t>Romania</t>
  </si>
  <si>
    <t>Croatia</t>
  </si>
  <si>
    <t>Montenegro</t>
  </si>
  <si>
    <t>North Macedonia</t>
  </si>
  <si>
    <t>Malta</t>
  </si>
  <si>
    <t>Estonia</t>
  </si>
  <si>
    <t>Latvia</t>
  </si>
  <si>
    <t>Russia</t>
  </si>
  <si>
    <t>Sweden</t>
  </si>
  <si>
    <t>Australia</t>
  </si>
  <si>
    <t>New Zealand</t>
  </si>
  <si>
    <t>Brunei</t>
  </si>
  <si>
    <t>South Korea</t>
  </si>
  <si>
    <t>Japan</t>
  </si>
  <si>
    <t>Saudi Arabia</t>
  </si>
  <si>
    <t>Oman</t>
  </si>
  <si>
    <t>Kuwait</t>
  </si>
  <si>
    <t>Bahrain</t>
  </si>
  <si>
    <t>Brazil</t>
  </si>
  <si>
    <t>Argentina</t>
  </si>
  <si>
    <t>Chile</t>
  </si>
  <si>
    <t>Peru</t>
  </si>
  <si>
    <t>Uruguay</t>
  </si>
  <si>
    <t>Canada</t>
  </si>
  <si>
    <t>Country (English)</t>
  </si>
  <si>
    <t>Czech Republic</t>
  </si>
  <si>
    <t>Lithuania</t>
  </si>
  <si>
    <t>United Kingdom</t>
  </si>
  <si>
    <t>Ukraine</t>
  </si>
  <si>
    <t>Serbia</t>
  </si>
  <si>
    <t>Bosnia and Herzegovina</t>
  </si>
  <si>
    <t>Albania</t>
  </si>
  <si>
    <t>Belarus</t>
  </si>
  <si>
    <t>United States</t>
  </si>
  <si>
    <t>Mexico</t>
  </si>
  <si>
    <t>Singapore</t>
  </si>
  <si>
    <t>United Arab Emirates</t>
  </si>
  <si>
    <t>Qatar</t>
  </si>
  <si>
    <t>Indonesia</t>
  </si>
  <si>
    <t>Country</t>
  </si>
  <si>
    <t>Malaysia</t>
  </si>
  <si>
    <t>Thailand</t>
  </si>
  <si>
    <t>Kazakhstan</t>
  </si>
  <si>
    <t>Philippines</t>
  </si>
  <si>
    <t>hainan</t>
  </si>
  <si>
    <t>all</t>
  </si>
  <si>
    <t>30days</t>
  </si>
  <si>
    <t>hit+240</t>
  </si>
  <si>
    <t>hit+hainan</t>
  </si>
  <si>
    <t>hit+all</t>
  </si>
  <si>
    <t>eligible_transit_hainan</t>
  </si>
  <si>
    <t>eligible_30days</t>
  </si>
  <si>
    <t>eligible_all</t>
  </si>
  <si>
    <t>Antigua and Barbuda</t>
  </si>
  <si>
    <t>单方面免签国家 30days</t>
  </si>
  <si>
    <t>互免</t>
  </si>
  <si>
    <t>Armenia</t>
  </si>
  <si>
    <t>Azerbaijan</t>
  </si>
  <si>
    <t>Barbados</t>
  </si>
  <si>
    <t>Ecuador</t>
  </si>
  <si>
    <t>Fiji</t>
  </si>
  <si>
    <t>Georgia</t>
  </si>
  <si>
    <t>Grenada</t>
  </si>
  <si>
    <t>Maldives</t>
  </si>
  <si>
    <t>Mauritius</t>
  </si>
  <si>
    <t>Samoa</t>
  </si>
  <si>
    <t>San Marino</t>
  </si>
  <si>
    <t>Seychelles</t>
  </si>
  <si>
    <t>Solomon Islands</t>
  </si>
  <si>
    <t>Suriname</t>
  </si>
  <si>
    <t>Tonga</t>
  </si>
  <si>
    <t>Uzbekistan</t>
  </si>
  <si>
    <t>Bahamas</t>
  </si>
  <si>
    <t>The Dominican Republic</t>
  </si>
  <si>
    <t>remark</t>
  </si>
  <si>
    <t>单方面免签无截止日期</t>
  </si>
  <si>
    <t>mutal——30days</t>
  </si>
  <si>
    <t>hit+30days (单免&amp;互免）</t>
  </si>
  <si>
    <t>eligible_30days_hainan</t>
  </si>
  <si>
    <t>eligible_hainan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</si>
</sst>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sz val="16"/>
      <color rgb="FF333333"/>
      <name val="PingFang SC"/>
      <family val="2"/>
      <charset val="134"/>
    </font>
    <font>
      <b/>
      <sz val="12"/>
      <color rgb="FFFFFFFF"/>
      <name val="Calibri"/>
      <family val="2"/>
    </font>
    <font>
      <sz val="14"/>
      <color rgb="FF333333"/>
      <name val="Arial"/>
      <family val="2"/>
    </font>
    <font>
      <sz val="12"/>
      <color theme="1"/>
      <name val="Microsoft YaHei UI"/>
    </font>
    <font>
      <sz val="12"/>
      <color rgb="FF333333"/>
      <name val="Microsoft YaHei UI"/>
    </font>
  </fonts>
  <fills count="3">
    <fill>
      <patternFill patternType="none"/>
    </fill>
    <fill>
      <patternFill patternType="gray125"/>
    </fill>
    <fill>
      <patternFill patternType="solid">
        <fgColor rgb="FFE11D48"/>
        <bgColor rgb="FFE11D4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Font="1" applyAlignment="1">
      <alignment horizontal="center"/>
    </xf>
    <xf numFmtId="0" fontId="3" fillId="0" borderId="0" xfId="0" applyFont="1"/>
    <xf numFmtId="0" fontId="4" fillId="0" borderId="0" xfId="0" applyFont="1" applyAlignment="1">
      <alignment horizontal="center"/>
    </xf>
    <xf numFmtId="0" fontId="4" fillId="0" borderId="0" xfId="0" applyFont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EF5D7F-54E7-504B-B839-24FCAA28C438}">
  <dimension ref="A1:R164"/>
  <sheetViews>
    <sheetView tabSelected="1" topLeftCell="D26" workbookViewId="0">
      <selection activeCell="J19" sqref="J19"/>
    </sheetView>
  </sheetViews>
  <sheetFormatPr baseColWidth="10" defaultRowHeight="16" x14ac:dyDescent="0.2"/>
  <cols>
    <col min="1" max="1" width="31.33203125" customWidth="1"/>
    <col min="2" max="3" width="30" style="3" customWidth="1"/>
    <col min="4" max="4" width="23.83203125" bestFit="1" customWidth="1"/>
    <col min="5" max="5" width="23.83203125" customWidth="1"/>
    <col min="6" max="6" width="31.33203125" style="7" customWidth="1"/>
    <col min="7" max="13" width="10.83203125" style="7" customWidth="1"/>
    <col min="14" max="14" width="23.33203125" style="7" bestFit="1" customWidth="1"/>
  </cols>
  <sheetData>
    <row r="1" spans="1:15" x14ac:dyDescent="0.2">
      <c r="A1" t="s">
        <v>79</v>
      </c>
      <c r="B1" s="3">
        <v>240</v>
      </c>
      <c r="C1" s="3" t="s">
        <v>69</v>
      </c>
      <c r="D1" t="s">
        <v>80</v>
      </c>
      <c r="F1" s="7" t="s">
        <v>70</v>
      </c>
      <c r="G1" s="7" t="s">
        <v>71</v>
      </c>
      <c r="H1" s="7">
        <v>240</v>
      </c>
      <c r="I1" s="7" t="s">
        <v>69</v>
      </c>
      <c r="J1" s="7" t="s">
        <v>101</v>
      </c>
      <c r="K1" s="7" t="s">
        <v>102</v>
      </c>
      <c r="L1" s="7" t="s">
        <v>72</v>
      </c>
      <c r="M1" s="7" t="s">
        <v>73</v>
      </c>
      <c r="N1" s="7" t="s">
        <v>74</v>
      </c>
      <c r="O1" s="5" t="s">
        <v>99</v>
      </c>
    </row>
    <row r="2" spans="1:15" ht="24" x14ac:dyDescent="0.35">
      <c r="A2" s="1" t="s">
        <v>21</v>
      </c>
      <c r="B2" s="2" t="s">
        <v>49</v>
      </c>
      <c r="C2" s="2" t="s">
        <v>64</v>
      </c>
      <c r="D2" s="2" t="s">
        <v>64</v>
      </c>
      <c r="F2" s="8" t="s">
        <v>56</v>
      </c>
      <c r="G2" s="7">
        <f>IFERROR(MATCH(F2,A:A,0),0)</f>
        <v>0</v>
      </c>
      <c r="H2" s="7">
        <f>IFERROR(MATCH(F2,B:B,0),0)</f>
        <v>40</v>
      </c>
      <c r="I2" s="7">
        <f>IFERROR(MATCH(F2,C:C,0),0)</f>
        <v>40</v>
      </c>
      <c r="J2" s="7">
        <f>IFERROR(MATCH(F2,D:D,0),0)</f>
        <v>3</v>
      </c>
      <c r="K2" s="7" t="str">
        <f>IF(G2=0,IF(J2=0,"","30days"),"30days")</f>
        <v>30days</v>
      </c>
      <c r="L2" s="7" t="str">
        <f>IF(H2=0,"","transit")</f>
        <v>transit</v>
      </c>
      <c r="M2" s="7" t="str">
        <f>IF(I2=0,"","hainan")</f>
        <v>hainan</v>
      </c>
      <c r="N2" s="7" t="s">
        <v>77</v>
      </c>
    </row>
    <row r="3" spans="1:15" ht="24" x14ac:dyDescent="0.35">
      <c r="A3" s="1" t="s">
        <v>44</v>
      </c>
      <c r="B3" s="4" t="s">
        <v>8</v>
      </c>
      <c r="C3" s="4" t="s">
        <v>32</v>
      </c>
      <c r="D3" s="6" t="s">
        <v>56</v>
      </c>
      <c r="E3" s="6"/>
      <c r="F3" s="9" t="s">
        <v>21</v>
      </c>
      <c r="G3" s="7">
        <f>IFERROR(MATCH(F3,A:A,0),0)</f>
        <v>2</v>
      </c>
      <c r="H3" s="7">
        <f>IFERROR(MATCH(F3,B:B,0),0)</f>
        <v>0</v>
      </c>
      <c r="I3" s="7">
        <f>IFERROR(MATCH(F3,C:C,0),0)</f>
        <v>0</v>
      </c>
      <c r="J3" s="7">
        <f>IFERROR(MATCH(F3,D:D,0),0)</f>
        <v>0</v>
      </c>
      <c r="K3" s="7" t="str">
        <f>IF(G3=0,IF(J3=0,"","30days"),"30days")</f>
        <v>30days</v>
      </c>
      <c r="L3" s="7" t="str">
        <f>IF(H3=0,"","transit")</f>
        <v/>
      </c>
      <c r="M3" s="7" t="str">
        <f>IF(I3=0,"","hainan")</f>
        <v/>
      </c>
      <c r="N3" s="7" t="s">
        <v>76</v>
      </c>
    </row>
    <row r="4" spans="1:15" ht="24" x14ac:dyDescent="0.35">
      <c r="A4" s="1" t="s">
        <v>34</v>
      </c>
      <c r="B4" s="4" t="s">
        <v>9</v>
      </c>
      <c r="C4" s="4" t="s">
        <v>52</v>
      </c>
      <c r="D4" s="6" t="s">
        <v>78</v>
      </c>
      <c r="E4" s="6"/>
      <c r="F4" s="12" t="s">
        <v>78</v>
      </c>
      <c r="G4" s="7">
        <f>IFERROR(MATCH(F4,A:A,0),0)</f>
        <v>0</v>
      </c>
      <c r="H4" s="7">
        <f>IFERROR(MATCH(F4,B:B,0),0)</f>
        <v>0</v>
      </c>
      <c r="I4" s="7">
        <f>IFERROR(MATCH(F4,C:C,0),0)</f>
        <v>0</v>
      </c>
      <c r="J4" s="7">
        <f>IFERROR(MATCH(F4,D:D,0),0)</f>
        <v>4</v>
      </c>
      <c r="K4" s="7" t="str">
        <f>IF(G4=0,IF(J4=0,"","30days"),"30days")</f>
        <v>30days</v>
      </c>
      <c r="L4" s="7" t="str">
        <f>IF(H4=0,"","transit")</f>
        <v/>
      </c>
      <c r="M4" s="7" t="str">
        <f>IF(I4=0,"","hainan")</f>
        <v/>
      </c>
      <c r="N4" s="7" t="s">
        <v>76</v>
      </c>
    </row>
    <row r="5" spans="1:15" ht="24" x14ac:dyDescent="0.35">
      <c r="A5" s="1" t="s">
        <v>8</v>
      </c>
      <c r="B5" s="4" t="s">
        <v>50</v>
      </c>
      <c r="C5" s="4" t="s">
        <v>0</v>
      </c>
      <c r="D5" s="6" t="s">
        <v>81</v>
      </c>
      <c r="F5" s="9" t="s">
        <v>44</v>
      </c>
      <c r="G5" s="7">
        <f>IFERROR(MATCH(F5,A:A,0),0)</f>
        <v>3</v>
      </c>
      <c r="H5" s="7">
        <f>IFERROR(MATCH(F5,B:B,0),0)</f>
        <v>47</v>
      </c>
      <c r="I5" s="7">
        <f>IFERROR(MATCH(F5,C:C,0),0)</f>
        <v>47</v>
      </c>
      <c r="J5" s="7">
        <f>IFERROR(MATCH(F5,D:D,0),0)</f>
        <v>0</v>
      </c>
      <c r="K5" s="7" t="str">
        <f>IF(G5=0,IF(J5=0,"","30days"),"30days")</f>
        <v>30days</v>
      </c>
      <c r="L5" s="7" t="str">
        <f>IF(H5=0,"","transit")</f>
        <v>transit</v>
      </c>
      <c r="M5" s="7" t="str">
        <f>IF(I5=0,"","hainan")</f>
        <v>hainan</v>
      </c>
      <c r="N5" s="7" t="s">
        <v>77</v>
      </c>
    </row>
    <row r="6" spans="1:15" ht="24" x14ac:dyDescent="0.35">
      <c r="A6" s="1" t="s">
        <v>42</v>
      </c>
      <c r="B6" s="4" t="s">
        <v>19</v>
      </c>
      <c r="C6" s="4" t="s">
        <v>1</v>
      </c>
      <c r="D6" s="6" t="s">
        <v>82</v>
      </c>
      <c r="F6" s="12" t="s">
        <v>81</v>
      </c>
      <c r="G6" s="7">
        <f>IFERROR(MATCH(F6,A:A,0),0)</f>
        <v>0</v>
      </c>
      <c r="H6" s="7">
        <f>IFERROR(MATCH(F6,B:B,0),0)</f>
        <v>0</v>
      </c>
      <c r="I6" s="7">
        <f>IFERROR(MATCH(F6,C:C,0),0)</f>
        <v>0</v>
      </c>
      <c r="J6" s="7">
        <f>IFERROR(MATCH(F6,D:D,0),0)</f>
        <v>5</v>
      </c>
      <c r="K6" s="7" t="str">
        <f>IF(G6=0,IF(J6=0,"","30days"),"30days")</f>
        <v>30days</v>
      </c>
      <c r="L6" s="7" t="str">
        <f>IF(H6=0,"","transit")</f>
        <v/>
      </c>
      <c r="M6" s="7" t="str">
        <f>IF(I6=0,"","hainan")</f>
        <v/>
      </c>
      <c r="N6" s="7" t="s">
        <v>76</v>
      </c>
    </row>
    <row r="7" spans="1:15" ht="24" x14ac:dyDescent="0.35">
      <c r="A7" s="1" t="s">
        <v>9</v>
      </c>
      <c r="B7" s="4" t="s">
        <v>30</v>
      </c>
      <c r="C7" s="4" t="s">
        <v>17</v>
      </c>
      <c r="D7" s="6" t="s">
        <v>97</v>
      </c>
      <c r="F7" s="9" t="s">
        <v>34</v>
      </c>
      <c r="G7" s="7">
        <f>IFERROR(MATCH(F7,A:A,0),0)</f>
        <v>4</v>
      </c>
      <c r="H7" s="7">
        <f>IFERROR(MATCH(F7,B:B,0),0)</f>
        <v>49</v>
      </c>
      <c r="I7" s="7">
        <f>IFERROR(MATCH(F7,C:C,0),0)</f>
        <v>49</v>
      </c>
      <c r="J7" s="7">
        <f>IFERROR(MATCH(F7,D:D,0),0)</f>
        <v>0</v>
      </c>
      <c r="K7" s="7" t="str">
        <f>IF(G7=0,IF(J7=0,"","30days"),"30days")</f>
        <v>30days</v>
      </c>
      <c r="L7" s="7" t="str">
        <f>IF(H7=0,"","transit")</f>
        <v>transit</v>
      </c>
      <c r="M7" s="7" t="str">
        <f>IF(I7=0,"","hainan")</f>
        <v>hainan</v>
      </c>
      <c r="N7" s="7" t="s">
        <v>77</v>
      </c>
    </row>
    <row r="8" spans="1:15" ht="24" x14ac:dyDescent="0.35">
      <c r="A8" s="1" t="s">
        <v>43</v>
      </c>
      <c r="B8" s="4" t="s">
        <v>18</v>
      </c>
      <c r="C8" s="4" t="s">
        <v>53</v>
      </c>
      <c r="D8" s="6" t="s">
        <v>83</v>
      </c>
      <c r="F8" s="9" t="s">
        <v>8</v>
      </c>
      <c r="G8" s="7">
        <f>IFERROR(MATCH(F8,A:A,0),0)</f>
        <v>5</v>
      </c>
      <c r="H8" s="7">
        <f>IFERROR(MATCH(F8,B:B,0),0)</f>
        <v>3</v>
      </c>
      <c r="I8" s="7">
        <f>IFERROR(MATCH(F8,C:C,0),0)</f>
        <v>10</v>
      </c>
      <c r="J8" s="7">
        <f>IFERROR(MATCH(F8,D:D,0),0)</f>
        <v>0</v>
      </c>
      <c r="K8" s="7" t="str">
        <f>IF(G8=0,IF(J8=0,"","30days"),"30days")</f>
        <v>30days</v>
      </c>
      <c r="L8" s="7" t="str">
        <f>IF(H8=0,"","transit")</f>
        <v>transit</v>
      </c>
      <c r="M8" s="7" t="str">
        <f>IF(I8=0,"","hainan")</f>
        <v>hainan</v>
      </c>
      <c r="N8" s="7" t="s">
        <v>77</v>
      </c>
    </row>
    <row r="9" spans="1:15" ht="24" x14ac:dyDescent="0.35">
      <c r="A9" s="1" t="s">
        <v>36</v>
      </c>
      <c r="B9" s="4" t="s">
        <v>0</v>
      </c>
      <c r="C9" s="4" t="s">
        <v>2</v>
      </c>
      <c r="D9" s="6" t="s">
        <v>57</v>
      </c>
      <c r="F9" s="12" t="s">
        <v>82</v>
      </c>
      <c r="G9" s="7">
        <f>IFERROR(MATCH(F9,A:A,0),0)</f>
        <v>0</v>
      </c>
      <c r="H9" s="7">
        <f>IFERROR(MATCH(F9,B:B,0),0)</f>
        <v>0</v>
      </c>
      <c r="I9" s="7">
        <f>IFERROR(MATCH(F9,C:C,0),0)</f>
        <v>0</v>
      </c>
      <c r="J9" s="7">
        <f>IFERROR(MATCH(F9,D:D,0),0)</f>
        <v>6</v>
      </c>
      <c r="K9" s="7" t="str">
        <f>IF(G9=0,IF(J9=0,"","30days"),"30days")</f>
        <v>30days</v>
      </c>
      <c r="L9" s="7" t="str">
        <f>IF(H9=0,"","transit")</f>
        <v/>
      </c>
      <c r="M9" s="7" t="str">
        <f>IF(I9=0,"","hainan")</f>
        <v/>
      </c>
      <c r="N9" s="7" t="s">
        <v>76</v>
      </c>
    </row>
    <row r="10" spans="1:15" ht="24" x14ac:dyDescent="0.35">
      <c r="A10" s="1" t="s">
        <v>24</v>
      </c>
      <c r="B10" s="4" t="s">
        <v>1</v>
      </c>
      <c r="C10" s="4" t="s">
        <v>8</v>
      </c>
      <c r="D10" s="6" t="s">
        <v>55</v>
      </c>
      <c r="F10" s="12" t="s">
        <v>97</v>
      </c>
      <c r="G10" s="7">
        <f>IFERROR(MATCH(F10,A:A,0),0)</f>
        <v>0</v>
      </c>
      <c r="H10" s="7">
        <f>IFERROR(MATCH(F10,B:B,0),0)</f>
        <v>0</v>
      </c>
      <c r="I10" s="7">
        <f>IFERROR(MATCH(F10,C:C,0),0)</f>
        <v>0</v>
      </c>
      <c r="J10" s="7">
        <f>IFERROR(MATCH(F10,D:D,0),0)</f>
        <v>7</v>
      </c>
      <c r="K10" s="7" t="str">
        <f>IF(G10=0,IF(J10=0,"","30days"),"30days")</f>
        <v>30days</v>
      </c>
      <c r="L10" s="7" t="str">
        <f>IF(H10=0,"","transit")</f>
        <v/>
      </c>
      <c r="M10" s="7" t="str">
        <f>IF(I10=0,"","hainan")</f>
        <v/>
      </c>
      <c r="N10" s="7" t="s">
        <v>76</v>
      </c>
    </row>
    <row r="11" spans="1:15" ht="24" x14ac:dyDescent="0.35">
      <c r="A11" s="1" t="s">
        <v>48</v>
      </c>
      <c r="B11" s="4" t="s">
        <v>14</v>
      </c>
      <c r="C11" s="4" t="s">
        <v>18</v>
      </c>
      <c r="D11" s="6" t="s">
        <v>84</v>
      </c>
      <c r="F11" s="9" t="s">
        <v>42</v>
      </c>
      <c r="G11" s="7">
        <f>IFERROR(MATCH(F11,A:A,0),0)</f>
        <v>6</v>
      </c>
      <c r="H11" s="7">
        <f>IFERROR(MATCH(F11,B:B,0),0)</f>
        <v>0</v>
      </c>
      <c r="I11" s="7">
        <f>IFERROR(MATCH(F11,C:C,0),0)</f>
        <v>0</v>
      </c>
      <c r="J11" s="7">
        <f>IFERROR(MATCH(F11,D:D,0),0)</f>
        <v>0</v>
      </c>
      <c r="K11" s="7" t="str">
        <f>IF(G11=0,IF(J11=0,"","30days"),"30days")</f>
        <v>30days</v>
      </c>
      <c r="L11" s="7" t="str">
        <f>IF(H11=0,"","transit")</f>
        <v/>
      </c>
      <c r="M11" s="7" t="str">
        <f>IF(I11=0,"","hainan")</f>
        <v/>
      </c>
      <c r="N11" s="7" t="s">
        <v>76</v>
      </c>
    </row>
    <row r="12" spans="1:15" ht="24" x14ac:dyDescent="0.35">
      <c r="A12" s="1" t="s">
        <v>45</v>
      </c>
      <c r="B12" s="4" t="s">
        <v>7</v>
      </c>
      <c r="C12" s="4" t="s">
        <v>3</v>
      </c>
      <c r="D12" s="6" t="s">
        <v>85</v>
      </c>
      <c r="F12" s="12" t="s">
        <v>83</v>
      </c>
      <c r="G12" s="7">
        <f>IFERROR(MATCH(F12,A:A,0),0)</f>
        <v>0</v>
      </c>
      <c r="H12" s="7">
        <f>IFERROR(MATCH(F12,B:B,0),0)</f>
        <v>0</v>
      </c>
      <c r="I12" s="7">
        <f>IFERROR(MATCH(F12,C:C,0),0)</f>
        <v>0</v>
      </c>
      <c r="J12" s="7">
        <f>IFERROR(MATCH(F12,D:D,0),0)</f>
        <v>8</v>
      </c>
      <c r="K12" s="7" t="str">
        <f>IF(G12=0,IF(J12=0,"","30days"),"30days")</f>
        <v>30days</v>
      </c>
      <c r="L12" s="7" t="str">
        <f>IF(H12=0,"","transit")</f>
        <v/>
      </c>
      <c r="M12" s="7" t="str">
        <f>IF(I12=0,"","hainan")</f>
        <v/>
      </c>
      <c r="N12" s="7" t="s">
        <v>76</v>
      </c>
    </row>
    <row r="13" spans="1:15" ht="24" x14ac:dyDescent="0.35">
      <c r="A13" s="1" t="s">
        <v>26</v>
      </c>
      <c r="B13" s="4" t="s">
        <v>20</v>
      </c>
      <c r="C13" s="4" t="s">
        <v>19</v>
      </c>
      <c r="D13" s="6" t="s">
        <v>86</v>
      </c>
      <c r="F13" s="8" t="s">
        <v>57</v>
      </c>
      <c r="G13" s="7">
        <f>IFERROR(MATCH(F13,A:A,0),0)</f>
        <v>0</v>
      </c>
      <c r="H13" s="7">
        <f>IFERROR(MATCH(F13,B:B,0),0)</f>
        <v>41</v>
      </c>
      <c r="I13" s="7">
        <f>IFERROR(MATCH(F13,C:C,0),0)</f>
        <v>42</v>
      </c>
      <c r="J13" s="7">
        <f>IFERROR(MATCH(F13,D:D,0),0)</f>
        <v>9</v>
      </c>
      <c r="K13" s="7" t="str">
        <f>IF(G13=0,IF(J13=0,"","30days"),"30days")</f>
        <v>30days</v>
      </c>
      <c r="L13" s="7" t="str">
        <f>IF(H13=0,"","transit")</f>
        <v>transit</v>
      </c>
      <c r="M13" s="7" t="str">
        <f>IF(I13=0,"","hainan")</f>
        <v>hainan</v>
      </c>
      <c r="N13" s="7" t="s">
        <v>77</v>
      </c>
    </row>
    <row r="14" spans="1:15" ht="24" x14ac:dyDescent="0.35">
      <c r="A14" s="1" t="s">
        <v>15</v>
      </c>
      <c r="B14" s="4" t="s">
        <v>2</v>
      </c>
      <c r="C14" s="4" t="s">
        <v>5</v>
      </c>
      <c r="D14" s="6" t="s">
        <v>87</v>
      </c>
      <c r="F14" s="9" t="s">
        <v>9</v>
      </c>
      <c r="G14" s="7">
        <f>IFERROR(MATCH(F14,A:A,0),0)</f>
        <v>7</v>
      </c>
      <c r="H14" s="7">
        <f>IFERROR(MATCH(F14,B:B,0),0)</f>
        <v>4</v>
      </c>
      <c r="I14" s="7">
        <f>IFERROR(MATCH(F14,C:C,0),0)</f>
        <v>17</v>
      </c>
      <c r="J14" s="7">
        <f>IFERROR(MATCH(F14,D:D,0),0)</f>
        <v>0</v>
      </c>
      <c r="K14" s="7" t="str">
        <f>IF(G14=0,IF(J14=0,"","30days"),"30days")</f>
        <v>30days</v>
      </c>
      <c r="L14" s="7" t="str">
        <f>IF(H14=0,"","transit")</f>
        <v>transit</v>
      </c>
      <c r="M14" s="7" t="str">
        <f>IF(I14=0,"","hainan")</f>
        <v>hainan</v>
      </c>
      <c r="N14" s="7" t="s">
        <v>77</v>
      </c>
    </row>
    <row r="15" spans="1:15" ht="24" x14ac:dyDescent="0.35">
      <c r="A15" s="1" t="s">
        <v>19</v>
      </c>
      <c r="B15" s="4" t="s">
        <v>31</v>
      </c>
      <c r="C15" s="4" t="s">
        <v>33</v>
      </c>
      <c r="D15" s="6" t="s">
        <v>67</v>
      </c>
      <c r="F15" s="8" t="s">
        <v>55</v>
      </c>
      <c r="G15" s="7">
        <f>IFERROR(MATCH(F15,A:A,0),0)</f>
        <v>0</v>
      </c>
      <c r="H15" s="7">
        <f>IFERROR(MATCH(F15,B:B,0),0)</f>
        <v>37</v>
      </c>
      <c r="I15" s="7">
        <f>IFERROR(MATCH(F15,C:C,0),0)</f>
        <v>37</v>
      </c>
      <c r="J15" s="7">
        <f>IFERROR(MATCH(F15,D:D,0),0)</f>
        <v>10</v>
      </c>
      <c r="K15" s="7" t="str">
        <f>IF(G15=0,IF(J15=0,"","30days"),"30days")</f>
        <v>30days</v>
      </c>
      <c r="L15" s="7" t="str">
        <f>IF(H15=0,"","transit")</f>
        <v>transit</v>
      </c>
      <c r="M15" s="7" t="str">
        <f>IF(I15=0,"","hainan")</f>
        <v>hainan</v>
      </c>
      <c r="N15" s="7" t="s">
        <v>77</v>
      </c>
    </row>
    <row r="16" spans="1:15" ht="24" x14ac:dyDescent="0.35">
      <c r="A16" s="1" t="s">
        <v>30</v>
      </c>
      <c r="B16" s="4" t="s">
        <v>51</v>
      </c>
      <c r="C16" s="4" t="s">
        <v>4</v>
      </c>
      <c r="D16" s="6" t="s">
        <v>65</v>
      </c>
      <c r="F16" s="9" t="s">
        <v>43</v>
      </c>
      <c r="G16" s="7">
        <f>IFERROR(MATCH(F16,A:A,0),0)</f>
        <v>8</v>
      </c>
      <c r="H16" s="7">
        <f>IFERROR(MATCH(F16,B:B,0),0)</f>
        <v>45</v>
      </c>
      <c r="I16" s="7">
        <f>IFERROR(MATCH(F16,C:C,0),0)</f>
        <v>45</v>
      </c>
      <c r="J16" s="7">
        <f>IFERROR(MATCH(F16,D:D,0),0)</f>
        <v>0</v>
      </c>
      <c r="K16" s="7" t="str">
        <f>IF(G16=0,IF(J16=0,"","30days"),"30days")</f>
        <v>30days</v>
      </c>
      <c r="L16" s="7" t="str">
        <f>IF(H16=0,"","transit")</f>
        <v>transit</v>
      </c>
      <c r="M16" s="7" t="str">
        <f>IF(I16=0,"","hainan")</f>
        <v>hainan</v>
      </c>
      <c r="N16" s="7" t="s">
        <v>77</v>
      </c>
    </row>
    <row r="17" spans="1:15" ht="24" x14ac:dyDescent="0.35">
      <c r="A17" s="1" t="s">
        <v>18</v>
      </c>
      <c r="B17" s="4" t="s">
        <v>10</v>
      </c>
      <c r="C17" s="4" t="s">
        <v>9</v>
      </c>
      <c r="D17" s="6" t="s">
        <v>88</v>
      </c>
      <c r="F17" s="9" t="s">
        <v>36</v>
      </c>
      <c r="G17" s="7">
        <f>IFERROR(MATCH(F17,A:A,0),0)</f>
        <v>9</v>
      </c>
      <c r="H17" s="7">
        <f>IFERROR(MATCH(F17,B:B,0),0)</f>
        <v>54</v>
      </c>
      <c r="I17" s="7">
        <f>IFERROR(MATCH(F17,C:C,0),0)</f>
        <v>59</v>
      </c>
      <c r="J17" s="7">
        <f>IFERROR(MATCH(F17,D:D,0),0)</f>
        <v>0</v>
      </c>
      <c r="K17" s="7" t="str">
        <f>IF(G17=0,IF(J17=0,"","30days"),"30days")</f>
        <v>30days</v>
      </c>
      <c r="L17" s="7" t="str">
        <f>IF(H17=0,"","transit")</f>
        <v>transit</v>
      </c>
      <c r="M17" s="7" t="str">
        <f>IF(I17=0,"","hainan")</f>
        <v>hainan</v>
      </c>
      <c r="N17" s="7" t="s">
        <v>77</v>
      </c>
      <c r="O17" t="s">
        <v>100</v>
      </c>
    </row>
    <row r="18" spans="1:15" ht="24" x14ac:dyDescent="0.35">
      <c r="A18" s="1" t="s">
        <v>0</v>
      </c>
      <c r="B18" s="4" t="s">
        <v>29</v>
      </c>
      <c r="C18" s="4" t="s">
        <v>50</v>
      </c>
      <c r="D18" s="6" t="s">
        <v>89</v>
      </c>
      <c r="F18" s="9" t="s">
        <v>24</v>
      </c>
      <c r="G18" s="7">
        <f>IFERROR(MATCH(F18,A:A,0),0)</f>
        <v>10</v>
      </c>
      <c r="H18" s="7">
        <f>IFERROR(MATCH(F18,B:B,0),0)</f>
        <v>32</v>
      </c>
      <c r="I18" s="7">
        <f>IFERROR(MATCH(F18,C:C,0),0)</f>
        <v>33</v>
      </c>
      <c r="J18" s="7">
        <f>IFERROR(MATCH(F18,D:D,0),0)</f>
        <v>0</v>
      </c>
      <c r="K18" s="7" t="str">
        <f>IF(G18=0,IF(J18=0,"","30days"),"30days")</f>
        <v>30days</v>
      </c>
      <c r="L18" s="7" t="str">
        <f>IF(H18=0,"","transit")</f>
        <v>transit</v>
      </c>
      <c r="M18" s="7" t="str">
        <f>IF(I18=0,"","hainan")</f>
        <v>hainan</v>
      </c>
      <c r="N18" s="7" t="s">
        <v>77</v>
      </c>
    </row>
    <row r="19" spans="1:15" ht="24" x14ac:dyDescent="0.35">
      <c r="A19" s="1" t="s">
        <v>1</v>
      </c>
      <c r="B19" s="4" t="s">
        <v>3</v>
      </c>
      <c r="C19" s="4" t="s">
        <v>30</v>
      </c>
      <c r="D19" s="6" t="s">
        <v>62</v>
      </c>
      <c r="F19" s="9" t="s">
        <v>48</v>
      </c>
      <c r="G19" s="7">
        <f>IFERROR(MATCH(F19,A:A,0),0)</f>
        <v>11</v>
      </c>
      <c r="H19" s="7">
        <f>IFERROR(MATCH(F19,B:B,0),0)</f>
        <v>44</v>
      </c>
      <c r="I19" s="7">
        <f>IFERROR(MATCH(F19,C:C,0),0)</f>
        <v>44</v>
      </c>
      <c r="J19" s="7">
        <f>IFERROR(MATCH(F19,D:D,0),0)</f>
        <v>0</v>
      </c>
      <c r="K19" s="7" t="str">
        <f>IF(G19=0,IF(J19=0,"","30days"),"30days")</f>
        <v>30days</v>
      </c>
      <c r="L19" s="7" t="str">
        <f>IF(H19=0,"","transit")</f>
        <v>transit</v>
      </c>
      <c r="M19" s="7" t="str">
        <f>IF(I19=0,"","hainan")</f>
        <v>hainan</v>
      </c>
      <c r="N19" s="7" t="s">
        <v>77</v>
      </c>
    </row>
    <row r="20" spans="1:15" ht="24" x14ac:dyDescent="0.35">
      <c r="A20" s="1" t="s">
        <v>14</v>
      </c>
      <c r="B20" s="4" t="s">
        <v>11</v>
      </c>
      <c r="C20" s="4" t="s">
        <v>14</v>
      </c>
      <c r="D20" s="6" t="s">
        <v>32</v>
      </c>
      <c r="F20" s="9" t="s">
        <v>45</v>
      </c>
      <c r="G20" s="7">
        <f>IFERROR(MATCH(F20,A:A,0),0)</f>
        <v>12</v>
      </c>
      <c r="H20" s="7">
        <f>IFERROR(MATCH(F20,B:B,0),0)</f>
        <v>48</v>
      </c>
      <c r="I20" s="7">
        <f>IFERROR(MATCH(F20,C:C,0),0)</f>
        <v>48</v>
      </c>
      <c r="J20" s="7">
        <f>IFERROR(MATCH(F20,D:D,0),0)</f>
        <v>0</v>
      </c>
      <c r="K20" s="7" t="str">
        <f>IF(G20=0,IF(J20=0,"","30days"),"30days")</f>
        <v>30days</v>
      </c>
      <c r="L20" s="7" t="str">
        <f>IF(H20=0,"","transit")</f>
        <v>transit</v>
      </c>
      <c r="M20" s="7" t="str">
        <f>IF(I20=0,"","hainan")</f>
        <v>hainan</v>
      </c>
      <c r="N20" s="7" t="s">
        <v>77</v>
      </c>
    </row>
    <row r="21" spans="1:15" ht="24" x14ac:dyDescent="0.35">
      <c r="A21" s="1" t="s">
        <v>7</v>
      </c>
      <c r="B21" s="4" t="s">
        <v>13</v>
      </c>
      <c r="C21" s="4" t="s">
        <v>7</v>
      </c>
      <c r="D21" s="6" t="s">
        <v>90</v>
      </c>
      <c r="F21" s="9" t="s">
        <v>26</v>
      </c>
      <c r="G21" s="7">
        <f>IFERROR(MATCH(F21,A:A,0),0)</f>
        <v>13</v>
      </c>
      <c r="H21" s="7">
        <f>IFERROR(MATCH(F21,B:B,0),0)</f>
        <v>36</v>
      </c>
      <c r="I21" s="7">
        <f>IFERROR(MATCH(F21,C:C,0),0)</f>
        <v>36</v>
      </c>
      <c r="J21" s="7">
        <f>IFERROR(MATCH(F21,D:D,0),0)</f>
        <v>0</v>
      </c>
      <c r="K21" s="7" t="str">
        <f>IF(G21=0,IF(J21=0,"","30days"),"30days")</f>
        <v>30days</v>
      </c>
      <c r="L21" s="7" t="str">
        <f>IF(H21=0,"","transit")</f>
        <v>transit</v>
      </c>
      <c r="M21" s="7" t="str">
        <f>IF(I21=0,"","hainan")</f>
        <v>hainan</v>
      </c>
      <c r="N21" s="7" t="s">
        <v>77</v>
      </c>
    </row>
    <row r="22" spans="1:15" ht="24" x14ac:dyDescent="0.35">
      <c r="A22" s="1" t="s">
        <v>20</v>
      </c>
      <c r="B22" s="4" t="s">
        <v>16</v>
      </c>
      <c r="C22" s="4" t="s">
        <v>20</v>
      </c>
      <c r="D22" s="6" t="s">
        <v>91</v>
      </c>
      <c r="F22" s="9" t="s">
        <v>15</v>
      </c>
      <c r="G22" s="7">
        <f>IFERROR(MATCH(F22,A:A,0),0)</f>
        <v>14</v>
      </c>
      <c r="H22" s="7">
        <f>IFERROR(MATCH(F22,B:B,0),0)</f>
        <v>31</v>
      </c>
      <c r="I22" s="7">
        <f>IFERROR(MATCH(F22,C:C,0),0)</f>
        <v>32</v>
      </c>
      <c r="J22" s="7">
        <f>IFERROR(MATCH(F22,D:D,0),0)</f>
        <v>0</v>
      </c>
      <c r="K22" s="7" t="str">
        <f>IF(G22=0,IF(J22=0,"","30days"),"30days")</f>
        <v>30days</v>
      </c>
      <c r="L22" s="7" t="str">
        <f>IF(H22=0,"","transit")</f>
        <v>transit</v>
      </c>
      <c r="M22" s="7" t="str">
        <f>IF(I22=0,"","hainan")</f>
        <v>hainan</v>
      </c>
      <c r="N22" s="7" t="s">
        <v>77</v>
      </c>
    </row>
    <row r="23" spans="1:15" ht="24" x14ac:dyDescent="0.35">
      <c r="A23" s="1" t="s">
        <v>6</v>
      </c>
      <c r="B23" s="4" t="s">
        <v>12</v>
      </c>
      <c r="C23" s="4" t="s">
        <v>31</v>
      </c>
      <c r="D23" s="6" t="s">
        <v>54</v>
      </c>
      <c r="F23" s="8" t="s">
        <v>50</v>
      </c>
      <c r="G23" s="7">
        <f>IFERROR(MATCH(F23,A:A,0),0)</f>
        <v>0</v>
      </c>
      <c r="H23" s="7">
        <f>IFERROR(MATCH(F23,B:B,0),0)</f>
        <v>5</v>
      </c>
      <c r="I23" s="7">
        <f>IFERROR(MATCH(F23,C:C,0),0)</f>
        <v>18</v>
      </c>
      <c r="J23" s="7">
        <f>IFERROR(MATCH(F23,D:D,0),0)</f>
        <v>0</v>
      </c>
      <c r="K23" s="7" t="str">
        <f>IF(G23=0,IF(J23=0,"","30days"),"30days")</f>
        <v/>
      </c>
      <c r="L23" s="7" t="str">
        <f>IF(H23=0,"","transit")</f>
        <v>transit</v>
      </c>
      <c r="M23" s="7" t="str">
        <f>IF(I23=0,"","hainan")</f>
        <v>hainan</v>
      </c>
      <c r="N23" s="7" t="s">
        <v>75</v>
      </c>
    </row>
    <row r="24" spans="1:15" ht="24" x14ac:dyDescent="0.35">
      <c r="A24" s="1" t="s">
        <v>2</v>
      </c>
      <c r="B24" s="4" t="s">
        <v>4</v>
      </c>
      <c r="C24" s="4" t="s">
        <v>51</v>
      </c>
      <c r="D24" s="6" t="s">
        <v>92</v>
      </c>
      <c r="F24" s="9" t="s">
        <v>19</v>
      </c>
      <c r="G24" s="7">
        <f>IFERROR(MATCH(F24,A:A,0),0)</f>
        <v>15</v>
      </c>
      <c r="H24" s="7">
        <f>IFERROR(MATCH(F24,B:B,0),0)</f>
        <v>6</v>
      </c>
      <c r="I24" s="7">
        <f>IFERROR(MATCH(F24,C:C,0),0)</f>
        <v>13</v>
      </c>
      <c r="J24" s="7">
        <f>IFERROR(MATCH(F24,D:D,0),0)</f>
        <v>0</v>
      </c>
      <c r="K24" s="7" t="str">
        <f>IF(G24=0,IF(J24=0,"","30days"),"30days")</f>
        <v>30days</v>
      </c>
      <c r="L24" s="7" t="str">
        <f>IF(H24=0,"","transit")</f>
        <v>transit</v>
      </c>
      <c r="M24" s="7" t="str">
        <f>IF(I24=0,"","hainan")</f>
        <v>hainan</v>
      </c>
      <c r="N24" s="7" t="s">
        <v>77</v>
      </c>
    </row>
    <row r="25" spans="1:15" ht="24" x14ac:dyDescent="0.35">
      <c r="A25" s="1" t="s">
        <v>38</v>
      </c>
      <c r="B25" s="4" t="s">
        <v>33</v>
      </c>
      <c r="C25" s="4" t="s">
        <v>10</v>
      </c>
      <c r="D25" s="6" t="s">
        <v>60</v>
      </c>
      <c r="F25" s="9" t="s">
        <v>84</v>
      </c>
      <c r="G25" s="7">
        <f>IFERROR(MATCH(F25,A:A,0),0)</f>
        <v>0</v>
      </c>
      <c r="H25" s="7">
        <f>IFERROR(MATCH(F25,B:B,0),0)</f>
        <v>0</v>
      </c>
      <c r="I25" s="7">
        <f>IFERROR(MATCH(F25,C:C,0),0)</f>
        <v>0</v>
      </c>
      <c r="J25" s="7">
        <f>IFERROR(MATCH(F25,D:D,0),0)</f>
        <v>11</v>
      </c>
      <c r="K25" s="7" t="str">
        <f>IF(G25=0,IF(J25=0,"","30days"),"30days")</f>
        <v>30days</v>
      </c>
      <c r="L25" s="7" t="str">
        <f>IF(H25=0,"","transit")</f>
        <v/>
      </c>
      <c r="M25" s="7" t="str">
        <f>IF(I25=0,"","hainan")</f>
        <v/>
      </c>
      <c r="N25" s="7" t="s">
        <v>76</v>
      </c>
    </row>
    <row r="26" spans="1:15" ht="24" x14ac:dyDescent="0.35">
      <c r="A26" s="1" t="s">
        <v>41</v>
      </c>
      <c r="B26" s="4" t="s">
        <v>5</v>
      </c>
      <c r="C26" s="4" t="s">
        <v>29</v>
      </c>
      <c r="D26" s="6" t="s">
        <v>93</v>
      </c>
      <c r="F26" s="9" t="s">
        <v>30</v>
      </c>
      <c r="G26" s="7">
        <f>IFERROR(MATCH(F26,A:A,0),0)</f>
        <v>16</v>
      </c>
      <c r="H26" s="7">
        <f>IFERROR(MATCH(F26,B:B,0),0)</f>
        <v>7</v>
      </c>
      <c r="I26" s="7">
        <f>IFERROR(MATCH(F26,C:C,0),0)</f>
        <v>19</v>
      </c>
      <c r="J26" s="7">
        <f>IFERROR(MATCH(F26,D:D,0),0)</f>
        <v>0</v>
      </c>
      <c r="K26" s="7" t="str">
        <f>IF(G26=0,IF(J26=0,"","30days"),"30days")</f>
        <v>30days</v>
      </c>
      <c r="L26" s="7" t="str">
        <f>IF(H26=0,"","transit")</f>
        <v>transit</v>
      </c>
      <c r="M26" s="7" t="str">
        <f>IF(I26=0,"","hainan")</f>
        <v>hainan</v>
      </c>
      <c r="N26" s="7" t="s">
        <v>77</v>
      </c>
    </row>
    <row r="27" spans="1:15" ht="24" x14ac:dyDescent="0.35">
      <c r="A27" s="1" t="s">
        <v>31</v>
      </c>
      <c r="B27" s="4" t="s">
        <v>22</v>
      </c>
      <c r="C27" s="4" t="s">
        <v>11</v>
      </c>
      <c r="D27" s="6" t="s">
        <v>94</v>
      </c>
      <c r="F27" s="9" t="s">
        <v>85</v>
      </c>
      <c r="G27" s="7">
        <f>IFERROR(MATCH(F27,A:A,0),0)</f>
        <v>0</v>
      </c>
      <c r="H27" s="7">
        <f>IFERROR(MATCH(F27,B:B,0),0)</f>
        <v>0</v>
      </c>
      <c r="I27" s="7">
        <f>IFERROR(MATCH(F27,C:C,0),0)</f>
        <v>0</v>
      </c>
      <c r="J27" s="7">
        <f>IFERROR(MATCH(F27,D:D,0),0)</f>
        <v>12</v>
      </c>
      <c r="K27" s="7" t="str">
        <f>IF(G27=0,IF(J27=0,"","30days"),"30days")</f>
        <v>30days</v>
      </c>
      <c r="L27" s="7" t="str">
        <f>IF(H27=0,"","transit")</f>
        <v/>
      </c>
      <c r="M27" s="7" t="str">
        <f>IF(I27=0,"","hainan")</f>
        <v/>
      </c>
      <c r="N27" s="7" t="s">
        <v>76</v>
      </c>
    </row>
    <row r="28" spans="1:15" ht="24" x14ac:dyDescent="0.35">
      <c r="A28" s="1" t="s">
        <v>23</v>
      </c>
      <c r="B28" s="4" t="s">
        <v>32</v>
      </c>
      <c r="C28" s="4" t="s">
        <v>13</v>
      </c>
      <c r="D28" s="6" t="s">
        <v>66</v>
      </c>
      <c r="F28" s="9" t="s">
        <v>18</v>
      </c>
      <c r="G28" s="7">
        <f>IFERROR(MATCH(F28,A:A,0),0)</f>
        <v>17</v>
      </c>
      <c r="H28" s="7">
        <f>IFERROR(MATCH(F28,B:B,0),0)</f>
        <v>8</v>
      </c>
      <c r="I28" s="7">
        <f>IFERROR(MATCH(F28,C:C,0),0)</f>
        <v>11</v>
      </c>
      <c r="J28" s="7">
        <f>IFERROR(MATCH(F28,D:D,0),0)</f>
        <v>0</v>
      </c>
      <c r="K28" s="7" t="str">
        <f>IF(G28=0,IF(J28=0,"","30days"),"30days")</f>
        <v>30days</v>
      </c>
      <c r="L28" s="7" t="str">
        <f>IF(H28=0,"","transit")</f>
        <v>transit</v>
      </c>
      <c r="M28" s="7" t="str">
        <f>IF(I28=0,"","hainan")</f>
        <v>hainan</v>
      </c>
      <c r="N28" s="7" t="s">
        <v>77</v>
      </c>
    </row>
    <row r="29" spans="1:15" ht="24" x14ac:dyDescent="0.35">
      <c r="A29" s="1" t="s">
        <v>10</v>
      </c>
      <c r="B29" s="4" t="s">
        <v>52</v>
      </c>
      <c r="C29" s="4" t="s">
        <v>16</v>
      </c>
      <c r="D29" s="6" t="s">
        <v>98</v>
      </c>
      <c r="F29" s="9" t="s">
        <v>0</v>
      </c>
      <c r="G29" s="7">
        <f>IFERROR(MATCH(F29,A:A,0),0)</f>
        <v>18</v>
      </c>
      <c r="H29" s="7">
        <f>IFERROR(MATCH(F29,B:B,0),0)</f>
        <v>9</v>
      </c>
      <c r="I29" s="7">
        <f>IFERROR(MATCH(F29,C:C,0),0)</f>
        <v>5</v>
      </c>
      <c r="J29" s="7">
        <f>IFERROR(MATCH(F29,D:D,0),0)</f>
        <v>0</v>
      </c>
      <c r="K29" s="7" t="str">
        <f>IF(G29=0,IF(J29=0,"","30days"),"30days")</f>
        <v>30days</v>
      </c>
      <c r="L29" s="7" t="str">
        <f>IF(H29=0,"","transit")</f>
        <v>transit</v>
      </c>
      <c r="M29" s="7" t="str">
        <f>IF(I29=0,"","hainan")</f>
        <v>hainan</v>
      </c>
      <c r="N29" s="7" t="s">
        <v>77</v>
      </c>
    </row>
    <row r="30" spans="1:15" ht="24" x14ac:dyDescent="0.35">
      <c r="A30" s="1" t="s">
        <v>29</v>
      </c>
      <c r="B30" s="4" t="s">
        <v>6</v>
      </c>
      <c r="C30" s="4" t="s">
        <v>12</v>
      </c>
      <c r="D30" s="6" t="s">
        <v>95</v>
      </c>
      <c r="F30" s="9" t="s">
        <v>86</v>
      </c>
      <c r="G30" s="7">
        <f>IFERROR(MATCH(F30,A:A,0),0)</f>
        <v>0</v>
      </c>
      <c r="H30" s="7">
        <f>IFERROR(MATCH(F30,B:B,0),0)</f>
        <v>0</v>
      </c>
      <c r="I30" s="7">
        <f>IFERROR(MATCH(F30,C:C,0),0)</f>
        <v>0</v>
      </c>
      <c r="J30" s="7">
        <f>IFERROR(MATCH(F30,D:D,0),0)</f>
        <v>13</v>
      </c>
      <c r="K30" s="7" t="str">
        <f>IF(G30=0,IF(J30=0,"","30days"),"30days")</f>
        <v>30days</v>
      </c>
      <c r="L30" s="7" t="str">
        <f>IF(H30=0,"","transit")</f>
        <v/>
      </c>
      <c r="M30" s="7" t="str">
        <f>IF(I30=0,"","hainan")</f>
        <v/>
      </c>
      <c r="N30" s="7" t="s">
        <v>76</v>
      </c>
    </row>
    <row r="31" spans="1:15" ht="24" x14ac:dyDescent="0.35">
      <c r="A31" s="1" t="s">
        <v>22</v>
      </c>
      <c r="B31" s="4" t="s">
        <v>15</v>
      </c>
      <c r="C31" s="4" t="s">
        <v>6</v>
      </c>
      <c r="D31" s="6" t="s">
        <v>61</v>
      </c>
      <c r="F31" s="9" t="s">
        <v>1</v>
      </c>
      <c r="G31" s="7">
        <f>IFERROR(MATCH(F31,A:A,0),0)</f>
        <v>19</v>
      </c>
      <c r="H31" s="7">
        <f>IFERROR(MATCH(F31,B:B,0),0)</f>
        <v>10</v>
      </c>
      <c r="I31" s="7">
        <f>IFERROR(MATCH(F31,C:C,0),0)</f>
        <v>6</v>
      </c>
      <c r="J31" s="7">
        <f>IFERROR(MATCH(F31,D:D,0),0)</f>
        <v>0</v>
      </c>
      <c r="K31" s="7" t="str">
        <f>IF(G31=0,IF(J31=0,"","30days"),"30days")</f>
        <v>30days</v>
      </c>
      <c r="L31" s="7" t="str">
        <f>IF(H31=0,"","transit")</f>
        <v>transit</v>
      </c>
      <c r="M31" s="7" t="str">
        <f>IF(I31=0,"","hainan")</f>
        <v>hainan</v>
      </c>
      <c r="N31" s="7" t="s">
        <v>77</v>
      </c>
    </row>
    <row r="32" spans="1:15" ht="24" x14ac:dyDescent="0.35">
      <c r="A32" s="1" t="s">
        <v>27</v>
      </c>
      <c r="B32" s="4" t="s">
        <v>24</v>
      </c>
      <c r="C32" s="4" t="s">
        <v>15</v>
      </c>
      <c r="D32" s="6" t="s">
        <v>96</v>
      </c>
      <c r="F32" s="9" t="s">
        <v>14</v>
      </c>
      <c r="G32" s="7">
        <f>IFERROR(MATCH(F32,A:A,0),0)</f>
        <v>20</v>
      </c>
      <c r="H32" s="7">
        <f>IFERROR(MATCH(F32,B:B,0),0)</f>
        <v>11</v>
      </c>
      <c r="I32" s="7">
        <f>IFERROR(MATCH(F32,C:C,0),0)</f>
        <v>20</v>
      </c>
      <c r="J32" s="7">
        <f>IFERROR(MATCH(F32,D:D,0),0)</f>
        <v>0</v>
      </c>
      <c r="K32" s="7" t="str">
        <f>IF(G32=0,IF(J32=0,"","30days"),"30days")</f>
        <v>30days</v>
      </c>
      <c r="L32" s="7" t="str">
        <f>IF(H32=0,"","transit")</f>
        <v>transit</v>
      </c>
      <c r="M32" s="7" t="str">
        <f>IF(I32=0,"","hainan")</f>
        <v>hainan</v>
      </c>
      <c r="N32" s="7" t="s">
        <v>77</v>
      </c>
    </row>
    <row r="33" spans="1:14" ht="24" x14ac:dyDescent="0.35">
      <c r="A33" s="1" t="s">
        <v>3</v>
      </c>
      <c r="B33" s="4" t="s">
        <v>25</v>
      </c>
      <c r="C33" s="4" t="s">
        <v>24</v>
      </c>
      <c r="F33" s="9" t="s">
        <v>87</v>
      </c>
      <c r="G33" s="7">
        <f>IFERROR(MATCH(F33,A:A,0),0)</f>
        <v>0</v>
      </c>
      <c r="H33" s="7">
        <f>IFERROR(MATCH(F33,B:B,0),0)</f>
        <v>0</v>
      </c>
      <c r="I33" s="7">
        <f>IFERROR(MATCH(F33,C:C,0),0)</f>
        <v>0</v>
      </c>
      <c r="J33" s="7">
        <f>IFERROR(MATCH(F33,D:D,0),0)</f>
        <v>14</v>
      </c>
      <c r="K33" s="7" t="str">
        <f>IF(G33=0,IF(J33=0,"","30days"),"30days")</f>
        <v>30days</v>
      </c>
      <c r="L33" s="7" t="str">
        <f>IF(H33=0,"","transit")</f>
        <v/>
      </c>
      <c r="M33" s="7" t="str">
        <f>IF(I33=0,"","hainan")</f>
        <v/>
      </c>
      <c r="N33" s="7" t="s">
        <v>76</v>
      </c>
    </row>
    <row r="34" spans="1:14" ht="24" x14ac:dyDescent="0.35">
      <c r="A34" s="1" t="s">
        <v>35</v>
      </c>
      <c r="B34" s="4" t="s">
        <v>53</v>
      </c>
      <c r="C34" s="4" t="s">
        <v>25</v>
      </c>
      <c r="F34" s="9" t="s">
        <v>7</v>
      </c>
      <c r="G34" s="7">
        <f>IFERROR(MATCH(F34,A:A,0),0)</f>
        <v>21</v>
      </c>
      <c r="H34" s="7">
        <f>IFERROR(MATCH(F34,B:B,0),0)</f>
        <v>12</v>
      </c>
      <c r="I34" s="7">
        <f>IFERROR(MATCH(F34,C:C,0),0)</f>
        <v>21</v>
      </c>
      <c r="J34" s="7">
        <f>IFERROR(MATCH(F34,D:D,0),0)</f>
        <v>0</v>
      </c>
      <c r="K34" s="7" t="str">
        <f>IF(G34=0,IF(J34=0,"","30days"),"30days")</f>
        <v>30days</v>
      </c>
      <c r="L34" s="7" t="str">
        <f>IF(H34=0,"","transit")</f>
        <v>transit</v>
      </c>
      <c r="M34" s="7" t="str">
        <f>IF(I34=0,"","hainan")</f>
        <v>hainan</v>
      </c>
      <c r="N34" s="7" t="s">
        <v>77</v>
      </c>
    </row>
    <row r="35" spans="1:14" ht="24" x14ac:dyDescent="0.35">
      <c r="A35" s="1" t="s">
        <v>28</v>
      </c>
      <c r="B35" s="4" t="s">
        <v>54</v>
      </c>
      <c r="C35" s="4" t="s">
        <v>54</v>
      </c>
      <c r="F35" s="9" t="s">
        <v>20</v>
      </c>
      <c r="G35" s="7">
        <f>IFERROR(MATCH(F35,A:A,0),0)</f>
        <v>22</v>
      </c>
      <c r="H35" s="7">
        <f>IFERROR(MATCH(F35,B:B,0),0)</f>
        <v>13</v>
      </c>
      <c r="I35" s="7">
        <f>IFERROR(MATCH(F35,C:C,0),0)</f>
        <v>22</v>
      </c>
      <c r="J35" s="7">
        <f>IFERROR(MATCH(F35,D:D,0),0)</f>
        <v>0</v>
      </c>
      <c r="K35" s="7" t="str">
        <f>IF(G35=0,IF(J35=0,"","30days"),"30days")</f>
        <v>30days</v>
      </c>
      <c r="L35" s="7" t="str">
        <f>IF(H35=0,"","transit")</f>
        <v>transit</v>
      </c>
      <c r="M35" s="7" t="str">
        <f>IF(I35=0,"","hainan")</f>
        <v>hainan</v>
      </c>
      <c r="N35" s="7" t="s">
        <v>77</v>
      </c>
    </row>
    <row r="36" spans="1:14" ht="24" x14ac:dyDescent="0.35">
      <c r="A36" s="1" t="s">
        <v>17</v>
      </c>
      <c r="B36" s="4" t="s">
        <v>26</v>
      </c>
      <c r="C36" s="4" t="s">
        <v>26</v>
      </c>
      <c r="F36" s="8" t="s">
        <v>63</v>
      </c>
      <c r="G36" s="7">
        <f>IFERROR(MATCH(F36,A:A,0),0)</f>
        <v>0</v>
      </c>
      <c r="H36" s="7">
        <f>IFERROR(MATCH(F36,B:B,0),0)</f>
        <v>57</v>
      </c>
      <c r="I36" s="7">
        <f>IFERROR(MATCH(F36,C:C,0),0)</f>
        <v>58</v>
      </c>
      <c r="J36" s="7">
        <f>IFERROR(MATCH(F36,D:D,0),0)</f>
        <v>0</v>
      </c>
      <c r="K36" s="7" t="str">
        <f>IF(G36=0,IF(J36=0,"","30days"),"30days")</f>
        <v/>
      </c>
      <c r="L36" s="7" t="str">
        <f>IF(H36=0,"","transit")</f>
        <v>transit</v>
      </c>
      <c r="M36" s="7" t="str">
        <f>IF(I36=0,"","hainan")</f>
        <v>hainan</v>
      </c>
      <c r="N36" s="7" t="s">
        <v>75</v>
      </c>
    </row>
    <row r="37" spans="1:14" ht="24" x14ac:dyDescent="0.35">
      <c r="A37" s="1" t="s">
        <v>40</v>
      </c>
      <c r="B37" s="4" t="s">
        <v>55</v>
      </c>
      <c r="C37" s="4" t="s">
        <v>55</v>
      </c>
      <c r="F37" s="9" t="s">
        <v>6</v>
      </c>
      <c r="G37" s="7">
        <f>IFERROR(MATCH(F37,A:A,0),0)</f>
        <v>23</v>
      </c>
      <c r="H37" s="7">
        <f>IFERROR(MATCH(F37,B:B,0),0)</f>
        <v>30</v>
      </c>
      <c r="I37" s="7">
        <f>IFERROR(MATCH(F37,C:C,0),0)</f>
        <v>31</v>
      </c>
      <c r="J37" s="7">
        <f>IFERROR(MATCH(F37,D:D,0),0)</f>
        <v>0</v>
      </c>
      <c r="K37" s="7" t="str">
        <f>IF(G37=0,IF(J37=0,"","30days"),"30days")</f>
        <v>30days</v>
      </c>
      <c r="L37" s="7" t="str">
        <f>IF(H37=0,"","transit")</f>
        <v>transit</v>
      </c>
      <c r="M37" s="7" t="str">
        <f>IF(I37=0,"","hainan")</f>
        <v>hainan</v>
      </c>
      <c r="N37" s="7" t="s">
        <v>77</v>
      </c>
    </row>
    <row r="38" spans="1:14" ht="24" x14ac:dyDescent="0.35">
      <c r="A38" s="1" t="s">
        <v>46</v>
      </c>
      <c r="B38" s="4" t="s">
        <v>27</v>
      </c>
      <c r="C38" s="4" t="s">
        <v>27</v>
      </c>
      <c r="F38" s="9" t="s">
        <v>2</v>
      </c>
      <c r="G38" s="7">
        <f>IFERROR(MATCH(F38,A:A,0),0)</f>
        <v>24</v>
      </c>
      <c r="H38" s="7">
        <f>IFERROR(MATCH(F38,B:B,0),0)</f>
        <v>14</v>
      </c>
      <c r="I38" s="7">
        <f>IFERROR(MATCH(F38,C:C,0),0)</f>
        <v>9</v>
      </c>
      <c r="J38" s="7">
        <f>IFERROR(MATCH(F38,D:D,0),0)</f>
        <v>0</v>
      </c>
      <c r="K38" s="7" t="str">
        <f>IF(G38=0,IF(J38=0,"","30days"),"30days")</f>
        <v>30days</v>
      </c>
      <c r="L38" s="7" t="str">
        <f>IF(H38=0,"","transit")</f>
        <v>transit</v>
      </c>
      <c r="M38" s="7" t="str">
        <f>IF(I38=0,"","hainan")</f>
        <v>hainan</v>
      </c>
      <c r="N38" s="7" t="s">
        <v>77</v>
      </c>
    </row>
    <row r="39" spans="1:14" ht="24" x14ac:dyDescent="0.35">
      <c r="A39" s="1" t="s">
        <v>11</v>
      </c>
      <c r="B39" s="4" t="s">
        <v>28</v>
      </c>
      <c r="C39" s="4" t="s">
        <v>28</v>
      </c>
      <c r="F39" s="9" t="s">
        <v>38</v>
      </c>
      <c r="G39" s="7">
        <f>IFERROR(MATCH(F39,A:A,0),0)</f>
        <v>25</v>
      </c>
      <c r="H39" s="7">
        <f>IFERROR(MATCH(F39,B:B,0),0)</f>
        <v>52</v>
      </c>
      <c r="I39" s="7">
        <f>IFERROR(MATCH(F39,C:C,0),0)</f>
        <v>52</v>
      </c>
      <c r="J39" s="7">
        <f>IFERROR(MATCH(F39,D:D,0),0)</f>
        <v>0</v>
      </c>
      <c r="K39" s="7" t="str">
        <f>IF(G39=0,IF(J39=0,"","30days"),"30days")</f>
        <v>30days</v>
      </c>
      <c r="L39" s="7" t="str">
        <f>IF(H39=0,"","transit")</f>
        <v>transit</v>
      </c>
      <c r="M39" s="7" t="str">
        <f>IF(I39=0,"","hainan")</f>
        <v>hainan</v>
      </c>
      <c r="N39" s="7" t="s">
        <v>77</v>
      </c>
    </row>
    <row r="40" spans="1:14" ht="24" x14ac:dyDescent="0.35">
      <c r="A40" s="1" t="s">
        <v>13</v>
      </c>
      <c r="B40" s="4" t="s">
        <v>56</v>
      </c>
      <c r="C40" s="4" t="s">
        <v>56</v>
      </c>
      <c r="F40" s="8" t="s">
        <v>67</v>
      </c>
      <c r="G40" s="7">
        <f>IFERROR(MATCH(F40,A:A,0),0)</f>
        <v>0</v>
      </c>
      <c r="H40" s="7">
        <f>IFERROR(MATCH(F40,B:B,0),0)</f>
        <v>0</v>
      </c>
      <c r="I40" s="7">
        <f>IFERROR(MATCH(F40,C:C,0),0)</f>
        <v>56</v>
      </c>
      <c r="J40" s="7">
        <f>IFERROR(MATCH(F40,D:D,0),0)</f>
        <v>15</v>
      </c>
      <c r="K40" s="7" t="str">
        <f>IF(G40=0,IF(J40=0,"","30days"),"30days")</f>
        <v>30days</v>
      </c>
      <c r="L40" s="7" t="str">
        <f>IF(H40=0,"","transit")</f>
        <v/>
      </c>
      <c r="M40" s="7" t="str">
        <f>IF(I40=0,"","hainan")</f>
        <v>hainan</v>
      </c>
      <c r="N40" s="7" t="s">
        <v>103</v>
      </c>
    </row>
    <row r="41" spans="1:14" ht="24" x14ac:dyDescent="0.35">
      <c r="A41" s="1" t="s">
        <v>25</v>
      </c>
      <c r="B41" s="4" t="s">
        <v>57</v>
      </c>
      <c r="C41" s="4" t="s">
        <v>22</v>
      </c>
      <c r="F41" s="9" t="s">
        <v>41</v>
      </c>
      <c r="G41" s="7">
        <f>IFERROR(MATCH(F41,A:A,0),0)</f>
        <v>26</v>
      </c>
      <c r="H41" s="7">
        <f>IFERROR(MATCH(F41,B:B,0),0)</f>
        <v>0</v>
      </c>
      <c r="I41" s="7">
        <f>IFERROR(MATCH(F41,C:C,0),0)</f>
        <v>0</v>
      </c>
      <c r="J41" s="7">
        <f>IFERROR(MATCH(F41,D:D,0),0)</f>
        <v>0</v>
      </c>
      <c r="K41" s="7" t="str">
        <f>IF(G41=0,IF(J41=0,"","30days"),"30days")</f>
        <v>30days</v>
      </c>
      <c r="L41" s="7" t="str">
        <f>IF(H41=0,"","transit")</f>
        <v/>
      </c>
      <c r="M41" s="7" t="str">
        <f>IF(I41=0,"","hainan")</f>
        <v/>
      </c>
      <c r="N41" s="7" t="s">
        <v>76</v>
      </c>
    </row>
    <row r="42" spans="1:14" ht="24" x14ac:dyDescent="0.35">
      <c r="A42" s="1" t="s">
        <v>32</v>
      </c>
      <c r="B42" s="4" t="s">
        <v>17</v>
      </c>
      <c r="C42" s="4" t="s">
        <v>57</v>
      </c>
      <c r="F42" s="9" t="s">
        <v>31</v>
      </c>
      <c r="G42" s="7">
        <f>IFERROR(MATCH(F42,A:A,0),0)</f>
        <v>27</v>
      </c>
      <c r="H42" s="7">
        <f>IFERROR(MATCH(F42,B:B,0),0)</f>
        <v>15</v>
      </c>
      <c r="I42" s="7">
        <f>IFERROR(MATCH(F42,C:C,0),0)</f>
        <v>23</v>
      </c>
      <c r="J42" s="7">
        <f>IFERROR(MATCH(F42,D:D,0),0)</f>
        <v>0</v>
      </c>
      <c r="K42" s="7" t="str">
        <f>IF(G42=0,IF(J42=0,"","30days"),"30days")</f>
        <v>30days</v>
      </c>
      <c r="L42" s="7" t="str">
        <f>IF(H42=0,"","transit")</f>
        <v>transit</v>
      </c>
      <c r="M42" s="7" t="str">
        <f>IF(I42=0,"","hainan")</f>
        <v>hainan</v>
      </c>
      <c r="N42" s="7" t="s">
        <v>77</v>
      </c>
    </row>
    <row r="43" spans="1:14" ht="24" x14ac:dyDescent="0.35">
      <c r="A43" s="1" t="s">
        <v>39</v>
      </c>
      <c r="B43" s="4" t="s">
        <v>58</v>
      </c>
      <c r="C43" s="4" t="s">
        <v>58</v>
      </c>
      <c r="F43" s="9" t="s">
        <v>23</v>
      </c>
      <c r="G43" s="7">
        <f>IFERROR(MATCH(F43,A:A,0),0)</f>
        <v>28</v>
      </c>
      <c r="H43" s="7">
        <f>IFERROR(MATCH(F43,B:B,0),0)</f>
        <v>0</v>
      </c>
      <c r="I43" s="7">
        <f>IFERROR(MATCH(F43,C:C,0),0)</f>
        <v>0</v>
      </c>
      <c r="J43" s="7">
        <f>IFERROR(MATCH(F43,D:D,0),0)</f>
        <v>0</v>
      </c>
      <c r="K43" s="7" t="str">
        <f>IF(G43=0,IF(J43=0,"","30days"),"30days")</f>
        <v>30days</v>
      </c>
      <c r="L43" s="7" t="str">
        <f>IF(H43=0,"","transit")</f>
        <v/>
      </c>
      <c r="M43" s="7" t="str">
        <f>IF(I43=0,"","hainan")</f>
        <v/>
      </c>
      <c r="N43" s="7" t="s">
        <v>76</v>
      </c>
    </row>
    <row r="44" spans="1:14" ht="24" x14ac:dyDescent="0.35">
      <c r="A44" s="1" t="s">
        <v>16</v>
      </c>
      <c r="B44" s="4" t="s">
        <v>48</v>
      </c>
      <c r="C44" s="4" t="s">
        <v>48</v>
      </c>
      <c r="F44" s="8" t="s">
        <v>51</v>
      </c>
      <c r="G44" s="7">
        <f>IFERROR(MATCH(F44,A:A,0),0)</f>
        <v>0</v>
      </c>
      <c r="H44" s="7">
        <f>IFERROR(MATCH(F44,B:B,0),0)</f>
        <v>16</v>
      </c>
      <c r="I44" s="7">
        <f>IFERROR(MATCH(F44,C:C,0),0)</f>
        <v>24</v>
      </c>
      <c r="J44" s="7">
        <f>IFERROR(MATCH(F44,D:D,0),0)</f>
        <v>0</v>
      </c>
      <c r="K44" s="7" t="str">
        <f>IF(G44=0,IF(J44=0,"","30days"),"30days")</f>
        <v/>
      </c>
      <c r="L44" s="7" t="str">
        <f>IF(H44=0,"","transit")</f>
        <v>transit</v>
      </c>
      <c r="M44" s="7" t="str">
        <f>IF(I44=0,"","hainan")</f>
        <v>hainan</v>
      </c>
      <c r="N44" s="7" t="s">
        <v>75</v>
      </c>
    </row>
    <row r="45" spans="1:14" ht="24" x14ac:dyDescent="0.35">
      <c r="A45" s="1" t="s">
        <v>12</v>
      </c>
      <c r="B45" s="4" t="s">
        <v>43</v>
      </c>
      <c r="C45" s="4" t="s">
        <v>43</v>
      </c>
      <c r="F45" s="9" t="s">
        <v>10</v>
      </c>
      <c r="G45" s="7">
        <f>IFERROR(MATCH(F45,A:A,0),0)</f>
        <v>29</v>
      </c>
      <c r="H45" s="7">
        <f>IFERROR(MATCH(F45,B:B,0),0)</f>
        <v>17</v>
      </c>
      <c r="I45" s="7">
        <f>IFERROR(MATCH(F45,C:C,0),0)</f>
        <v>25</v>
      </c>
      <c r="J45" s="7">
        <f>IFERROR(MATCH(F45,D:D,0),0)</f>
        <v>0</v>
      </c>
      <c r="K45" s="7" t="str">
        <f>IF(G45=0,IF(J45=0,"","30days"),"30days")</f>
        <v>30days</v>
      </c>
      <c r="L45" s="7" t="str">
        <f>IF(H45=0,"","transit")</f>
        <v>transit</v>
      </c>
      <c r="M45" s="7" t="str">
        <f>IF(I45=0,"","hainan")</f>
        <v>hainan</v>
      </c>
      <c r="N45" s="7" t="s">
        <v>77</v>
      </c>
    </row>
    <row r="46" spans="1:14" ht="24" x14ac:dyDescent="0.35">
      <c r="A46" s="1" t="s">
        <v>37</v>
      </c>
      <c r="B46" s="4" t="s">
        <v>59</v>
      </c>
      <c r="C46" s="4" t="s">
        <v>59</v>
      </c>
      <c r="F46" s="8" t="s">
        <v>65</v>
      </c>
      <c r="G46" s="7">
        <f>IFERROR(MATCH(F46,A:A,0),0)</f>
        <v>0</v>
      </c>
      <c r="H46" s="7">
        <f>IFERROR(MATCH(F46,B:B,0),0)</f>
        <v>0</v>
      </c>
      <c r="I46" s="7">
        <f>IFERROR(MATCH(F46,C:C,0),0)</f>
        <v>54</v>
      </c>
      <c r="J46" s="7">
        <f>IFERROR(MATCH(F46,D:D,0),0)</f>
        <v>16</v>
      </c>
      <c r="K46" s="7" t="str">
        <f>IF(G46=0,IF(J46=0,"","30days"),"30days")</f>
        <v>30days</v>
      </c>
      <c r="L46" s="7" t="str">
        <f>IF(H46=0,"","transit")</f>
        <v/>
      </c>
      <c r="M46" s="7" t="str">
        <f>IF(I46=0,"","hainan")</f>
        <v>hainan</v>
      </c>
      <c r="N46" s="7" t="s">
        <v>103</v>
      </c>
    </row>
    <row r="47" spans="1:14" ht="24" x14ac:dyDescent="0.35">
      <c r="A47" s="1" t="s">
        <v>4</v>
      </c>
      <c r="B47" s="4" t="s">
        <v>44</v>
      </c>
      <c r="C47" s="4" t="s">
        <v>44</v>
      </c>
      <c r="F47" s="12" t="s">
        <v>88</v>
      </c>
      <c r="G47" s="7">
        <f>IFERROR(MATCH(F47,A:A,0),0)</f>
        <v>0</v>
      </c>
      <c r="H47" s="7">
        <f>IFERROR(MATCH(F47,B:B,0),0)</f>
        <v>0</v>
      </c>
      <c r="I47" s="7">
        <f>IFERROR(MATCH(F47,C:C,0),0)</f>
        <v>0</v>
      </c>
      <c r="J47" s="7">
        <f>IFERROR(MATCH(F47,D:D,0),0)</f>
        <v>17</v>
      </c>
      <c r="K47" s="7" t="str">
        <f>IF(G47=0,IF(J47=0,"","30days"),"30days")</f>
        <v>30days</v>
      </c>
      <c r="L47" s="7" t="str">
        <f>IF(H47=0,"","transit")</f>
        <v/>
      </c>
      <c r="M47" s="7" t="str">
        <f>IF(I47=0,"","hainan")</f>
        <v/>
      </c>
      <c r="N47" s="7" t="s">
        <v>76</v>
      </c>
    </row>
    <row r="48" spans="1:14" ht="24" x14ac:dyDescent="0.35">
      <c r="A48" s="1" t="s">
        <v>33</v>
      </c>
      <c r="B48" s="4" t="s">
        <v>45</v>
      </c>
      <c r="C48" s="4" t="s">
        <v>45</v>
      </c>
      <c r="F48" s="9" t="s">
        <v>29</v>
      </c>
      <c r="G48" s="7">
        <f>IFERROR(MATCH(F48,A:A,0),0)</f>
        <v>30</v>
      </c>
      <c r="H48" s="7">
        <f>IFERROR(MATCH(F48,B:B,0),0)</f>
        <v>18</v>
      </c>
      <c r="I48" s="7">
        <f>IFERROR(MATCH(F48,C:C,0),0)</f>
        <v>26</v>
      </c>
      <c r="J48" s="7">
        <f>IFERROR(MATCH(F48,D:D,0),0)</f>
        <v>0</v>
      </c>
      <c r="K48" s="7" t="str">
        <f>IF(G48=0,IF(J48=0,"","30days"),"30days")</f>
        <v>30days</v>
      </c>
      <c r="L48" s="7" t="str">
        <f>IF(H48=0,"","transit")</f>
        <v>transit</v>
      </c>
      <c r="M48" s="7" t="str">
        <f>IF(I48=0,"","hainan")</f>
        <v>hainan</v>
      </c>
      <c r="N48" s="7" t="s">
        <v>77</v>
      </c>
    </row>
    <row r="49" spans="1:14" ht="24" x14ac:dyDescent="0.35">
      <c r="A49" s="1" t="s">
        <v>5</v>
      </c>
      <c r="B49" s="4" t="s">
        <v>34</v>
      </c>
      <c r="C49" s="4" t="s">
        <v>34</v>
      </c>
      <c r="F49" s="12" t="s">
        <v>89</v>
      </c>
      <c r="G49" s="7">
        <f>IFERROR(MATCH(F49,A:A,0),0)</f>
        <v>0</v>
      </c>
      <c r="H49" s="7">
        <f>IFERROR(MATCH(F49,B:B,0),0)</f>
        <v>0</v>
      </c>
      <c r="I49" s="7">
        <f>IFERROR(MATCH(F49,C:C,0),0)</f>
        <v>0</v>
      </c>
      <c r="J49" s="7">
        <f>IFERROR(MATCH(F49,D:D,0),0)</f>
        <v>18</v>
      </c>
      <c r="K49" s="7" t="str">
        <f>IF(G49=0,IF(J49=0,"","30days"),"30days")</f>
        <v>30days</v>
      </c>
      <c r="L49" s="7" t="str">
        <f>IF(H49=0,"","transit")</f>
        <v/>
      </c>
      <c r="M49" s="7" t="str">
        <f>IF(I49=0,"","hainan")</f>
        <v/>
      </c>
      <c r="N49" s="7" t="s">
        <v>76</v>
      </c>
    </row>
    <row r="50" spans="1:14" ht="24" x14ac:dyDescent="0.35">
      <c r="A50" s="1" t="s">
        <v>52</v>
      </c>
      <c r="B50" s="4" t="s">
        <v>35</v>
      </c>
      <c r="C50" s="4" t="s">
        <v>35</v>
      </c>
      <c r="F50" s="8" t="s">
        <v>59</v>
      </c>
      <c r="G50" s="7">
        <f>IFERROR(MATCH(F50,A:A,0),0)</f>
        <v>0</v>
      </c>
      <c r="H50" s="7">
        <f>IFERROR(MATCH(F50,B:B,0),0)</f>
        <v>46</v>
      </c>
      <c r="I50" s="7">
        <f>IFERROR(MATCH(F50,C:C,0),0)</f>
        <v>46</v>
      </c>
      <c r="J50" s="7">
        <f>IFERROR(MATCH(F50,D:D,0),0)</f>
        <v>0</v>
      </c>
      <c r="K50" s="7" t="str">
        <f>IF(G50=0,IF(J50=0,"","30days"),"30days")</f>
        <v/>
      </c>
      <c r="L50" s="7" t="str">
        <f>IF(H50=0,"","transit")</f>
        <v>transit</v>
      </c>
      <c r="M50" s="7" t="str">
        <f>IF(I50=0,"","hainan")</f>
        <v>hainan</v>
      </c>
      <c r="N50" s="7" t="s">
        <v>75</v>
      </c>
    </row>
    <row r="51" spans="1:14" ht="24" x14ac:dyDescent="0.35">
      <c r="A51" s="1" t="s">
        <v>47</v>
      </c>
      <c r="B51" s="4" t="s">
        <v>37</v>
      </c>
      <c r="C51" s="4" t="s">
        <v>37</v>
      </c>
      <c r="F51" s="9" t="s">
        <v>22</v>
      </c>
      <c r="G51" s="7">
        <f>IFERROR(MATCH(F51,A:A,0),0)</f>
        <v>31</v>
      </c>
      <c r="H51" s="7">
        <f>IFERROR(MATCH(F51,B:B,0),0)</f>
        <v>27</v>
      </c>
      <c r="I51" s="7">
        <f>IFERROR(MATCH(F51,C:C,0),0)</f>
        <v>41</v>
      </c>
      <c r="J51" s="7">
        <f>IFERROR(MATCH(F51,D:D,0),0)</f>
        <v>0</v>
      </c>
      <c r="K51" s="7" t="str">
        <f>IF(G51=0,IF(J51=0,"","30days"),"30days")</f>
        <v>30days</v>
      </c>
      <c r="L51" s="7" t="str">
        <f>IF(H51=0,"","transit")</f>
        <v>transit</v>
      </c>
      <c r="M51" s="7" t="str">
        <f>IF(I51=0,"","hainan")</f>
        <v>hainan</v>
      </c>
      <c r="N51" s="7" t="s">
        <v>77</v>
      </c>
    </row>
    <row r="52" spans="1:14" x14ac:dyDescent="0.2">
      <c r="B52" s="4" t="s">
        <v>38</v>
      </c>
      <c r="C52" s="4" t="s">
        <v>38</v>
      </c>
      <c r="F52" s="10" t="s">
        <v>27</v>
      </c>
      <c r="G52" s="7">
        <f>IFERROR(MATCH(F52,A:A,0),0)</f>
        <v>32</v>
      </c>
      <c r="H52" s="7">
        <f>IFERROR(MATCH(F52,B:B,0),0)</f>
        <v>38</v>
      </c>
      <c r="I52" s="7">
        <f>IFERROR(MATCH(F52,C:C,0),0)</f>
        <v>38</v>
      </c>
      <c r="J52" s="7">
        <f>IFERROR(MATCH(F52,D:D,0),0)</f>
        <v>0</v>
      </c>
      <c r="K52" s="7" t="str">
        <f>IF(G52=0,IF(J52=0,"","30days"),"30days")</f>
        <v>30days</v>
      </c>
      <c r="L52" s="7" t="str">
        <f>IF(H52=0,"","transit")</f>
        <v>transit</v>
      </c>
      <c r="M52" s="7" t="str">
        <f>IF(I52=0,"","hainan")</f>
        <v>hainan</v>
      </c>
      <c r="N52" s="7" t="s">
        <v>77</v>
      </c>
    </row>
    <row r="53" spans="1:14" x14ac:dyDescent="0.2">
      <c r="B53" s="4" t="s">
        <v>60</v>
      </c>
      <c r="C53" s="4" t="s">
        <v>60</v>
      </c>
      <c r="F53" s="10" t="s">
        <v>3</v>
      </c>
      <c r="G53" s="7">
        <f>IFERROR(MATCH(F53,A:A,0),0)</f>
        <v>33</v>
      </c>
      <c r="H53" s="7">
        <f>IFERROR(MATCH(F53,B:B,0),0)</f>
        <v>19</v>
      </c>
      <c r="I53" s="7">
        <f>IFERROR(MATCH(F53,C:C,0),0)</f>
        <v>12</v>
      </c>
      <c r="J53" s="7">
        <f>IFERROR(MATCH(F53,D:D,0),0)</f>
        <v>0</v>
      </c>
      <c r="K53" s="7" t="str">
        <f>IF(G53=0,IF(J53=0,"","30days"),"30days")</f>
        <v>30days</v>
      </c>
      <c r="L53" s="7" t="str">
        <f>IF(H53=0,"","transit")</f>
        <v>transit</v>
      </c>
      <c r="M53" s="7" t="str">
        <f>IF(I53=0,"","hainan")</f>
        <v>hainan</v>
      </c>
      <c r="N53" s="7" t="s">
        <v>77</v>
      </c>
    </row>
    <row r="54" spans="1:14" x14ac:dyDescent="0.2">
      <c r="B54" s="4" t="s">
        <v>36</v>
      </c>
      <c r="C54" s="4" t="s">
        <v>65</v>
      </c>
      <c r="F54" s="10" t="s">
        <v>35</v>
      </c>
      <c r="G54" s="7">
        <f>IFERROR(MATCH(F54,A:A,0),0)</f>
        <v>34</v>
      </c>
      <c r="H54" s="7">
        <f>IFERROR(MATCH(F54,B:B,0),0)</f>
        <v>50</v>
      </c>
      <c r="I54" s="7">
        <f>IFERROR(MATCH(F54,C:C,0),0)</f>
        <v>50</v>
      </c>
      <c r="J54" s="7">
        <f>IFERROR(MATCH(F54,D:D,0),0)</f>
        <v>0</v>
      </c>
      <c r="K54" s="7" t="str">
        <f>IF(G54=0,IF(J54=0,"","30days"),"30days")</f>
        <v>30days</v>
      </c>
      <c r="L54" s="7" t="str">
        <f>IF(H54=0,"","transit")</f>
        <v>transit</v>
      </c>
      <c r="M54" s="7" t="str">
        <f>IF(I54=0,"","hainan")</f>
        <v>hainan</v>
      </c>
      <c r="N54" s="7" t="s">
        <v>77</v>
      </c>
    </row>
    <row r="55" spans="1:14" x14ac:dyDescent="0.2">
      <c r="B55" s="4" t="s">
        <v>61</v>
      </c>
      <c r="C55" s="4" t="s">
        <v>66</v>
      </c>
      <c r="F55" s="10" t="s">
        <v>28</v>
      </c>
      <c r="G55" s="7">
        <f>IFERROR(MATCH(F55,A:A,0),0)</f>
        <v>35</v>
      </c>
      <c r="H55" s="7">
        <f>IFERROR(MATCH(F55,B:B,0),0)</f>
        <v>39</v>
      </c>
      <c r="I55" s="7">
        <f>IFERROR(MATCH(F55,C:C,0),0)</f>
        <v>39</v>
      </c>
      <c r="J55" s="7">
        <f>IFERROR(MATCH(F55,D:D,0),0)</f>
        <v>0</v>
      </c>
      <c r="K55" s="7" t="str">
        <f>IF(G55=0,IF(J55=0,"","30days"),"30days")</f>
        <v>30days</v>
      </c>
      <c r="L55" s="7" t="str">
        <f>IF(H55=0,"","transit")</f>
        <v>transit</v>
      </c>
      <c r="M55" s="7" t="str">
        <f>IF(I55=0,"","hainan")</f>
        <v>hainan</v>
      </c>
      <c r="N55" s="7" t="s">
        <v>77</v>
      </c>
    </row>
    <row r="56" spans="1:14" x14ac:dyDescent="0.2">
      <c r="B56" s="4" t="s">
        <v>62</v>
      </c>
      <c r="C56" s="4" t="s">
        <v>67</v>
      </c>
      <c r="F56" s="10" t="s">
        <v>17</v>
      </c>
      <c r="G56" s="7">
        <f>IFERROR(MATCH(F56,A:A,0),0)</f>
        <v>36</v>
      </c>
      <c r="H56" s="7">
        <f>IFERROR(MATCH(F56,B:B,0),0)</f>
        <v>42</v>
      </c>
      <c r="I56" s="7">
        <f>IFERROR(MATCH(F56,C:C,0),0)</f>
        <v>7</v>
      </c>
      <c r="J56" s="7">
        <f>IFERROR(MATCH(F56,D:D,0),0)</f>
        <v>0</v>
      </c>
      <c r="K56" s="7" t="str">
        <f>IF(G56=0,IF(J56=0,"","30days"),"30days")</f>
        <v>30days</v>
      </c>
      <c r="L56" s="7" t="str">
        <f>IF(H56=0,"","transit")</f>
        <v>transit</v>
      </c>
      <c r="M56" s="7" t="str">
        <f>IF(I56=0,"","hainan")</f>
        <v>hainan</v>
      </c>
      <c r="N56" s="7" t="s">
        <v>77</v>
      </c>
    </row>
    <row r="57" spans="1:14" x14ac:dyDescent="0.2">
      <c r="B57" s="4" t="s">
        <v>63</v>
      </c>
      <c r="C57" s="4" t="s">
        <v>68</v>
      </c>
      <c r="F57" s="10" t="s">
        <v>40</v>
      </c>
      <c r="G57" s="7">
        <f>IFERROR(MATCH(F57,A:A,0),0)</f>
        <v>37</v>
      </c>
      <c r="H57" s="7">
        <f>IFERROR(MATCH(F57,B:B,0),0)</f>
        <v>0</v>
      </c>
      <c r="I57" s="7">
        <f>IFERROR(MATCH(F57,C:C,0),0)</f>
        <v>0</v>
      </c>
      <c r="J57" s="7">
        <f>IFERROR(MATCH(F57,D:D,0),0)</f>
        <v>0</v>
      </c>
      <c r="K57" s="7" t="str">
        <f>IF(G57=0,IF(J57=0,"","30days"),"30days")</f>
        <v>30days</v>
      </c>
      <c r="L57" s="7" t="str">
        <f>IF(H57=0,"","transit")</f>
        <v/>
      </c>
      <c r="M57" s="7" t="str">
        <f>IF(I57=0,"","hainan")</f>
        <v/>
      </c>
      <c r="N57" s="7" t="s">
        <v>76</v>
      </c>
    </row>
    <row r="58" spans="1:14" x14ac:dyDescent="0.2">
      <c r="C58" s="4" t="s">
        <v>63</v>
      </c>
      <c r="F58" s="10" t="s">
        <v>46</v>
      </c>
      <c r="G58" s="7">
        <f>IFERROR(MATCH(F58,A:A,0),0)</f>
        <v>38</v>
      </c>
      <c r="H58" s="7">
        <f>IFERROR(MATCH(F58,B:B,0),0)</f>
        <v>0</v>
      </c>
      <c r="I58" s="7">
        <f>IFERROR(MATCH(F58,C:C,0),0)</f>
        <v>0</v>
      </c>
      <c r="J58" s="7">
        <f>IFERROR(MATCH(F58,D:D,0),0)</f>
        <v>0</v>
      </c>
      <c r="K58" s="7" t="str">
        <f>IF(G58=0,IF(J58=0,"","30days"),"30days")</f>
        <v>30days</v>
      </c>
      <c r="L58" s="7" t="str">
        <f>IF(H58=0,"","transit")</f>
        <v/>
      </c>
      <c r="M58" s="7" t="str">
        <f>IF(I58=0,"","hainan")</f>
        <v/>
      </c>
      <c r="N58" s="7" t="s">
        <v>76</v>
      </c>
    </row>
    <row r="59" spans="1:14" x14ac:dyDescent="0.2">
      <c r="C59" s="4" t="s">
        <v>36</v>
      </c>
      <c r="F59" s="11" t="s">
        <v>68</v>
      </c>
      <c r="G59" s="7">
        <f>IFERROR(MATCH(F59,A:A,0),0)</f>
        <v>0</v>
      </c>
      <c r="H59" s="7">
        <f>IFERROR(MATCH(F59,B:B,0),0)</f>
        <v>0</v>
      </c>
      <c r="I59" s="7">
        <f>IFERROR(MATCH(F59,C:C,0),0)</f>
        <v>57</v>
      </c>
      <c r="J59" s="7">
        <f>IFERROR(MATCH(F59,D:D,0),0)</f>
        <v>0</v>
      </c>
      <c r="K59" s="7" t="str">
        <f>IF(G59=0,IF(J59=0,"","30days"),"30days")</f>
        <v/>
      </c>
      <c r="L59" s="7" t="str">
        <f>IF(H59=0,"","transit")</f>
        <v/>
      </c>
      <c r="M59" s="7" t="str">
        <f>IF(I59=0,"","hainan")</f>
        <v>hainan</v>
      </c>
      <c r="N59" s="7" t="s">
        <v>104</v>
      </c>
    </row>
    <row r="60" spans="1:14" x14ac:dyDescent="0.2">
      <c r="C60" s="4" t="s">
        <v>61</v>
      </c>
      <c r="F60" s="10" t="s">
        <v>11</v>
      </c>
      <c r="G60" s="7">
        <f>IFERROR(MATCH(F60,A:A,0),0)</f>
        <v>39</v>
      </c>
      <c r="H60" s="7">
        <f>IFERROR(MATCH(F60,B:B,0),0)</f>
        <v>20</v>
      </c>
      <c r="I60" s="7">
        <f>IFERROR(MATCH(F60,C:C,0),0)</f>
        <v>27</v>
      </c>
      <c r="J60" s="7">
        <f>IFERROR(MATCH(F60,D:D,0),0)</f>
        <v>0</v>
      </c>
      <c r="K60" s="7" t="str">
        <f>IF(G60=0,IF(J60=0,"","30days"),"30days")</f>
        <v>30days</v>
      </c>
      <c r="L60" s="7" t="str">
        <f>IF(H60=0,"","transit")</f>
        <v>transit</v>
      </c>
      <c r="M60" s="7" t="str">
        <f>IF(I60=0,"","hainan")</f>
        <v>hainan</v>
      </c>
      <c r="N60" s="7" t="s">
        <v>77</v>
      </c>
    </row>
    <row r="61" spans="1:14" x14ac:dyDescent="0.2">
      <c r="C61" s="4" t="s">
        <v>62</v>
      </c>
      <c r="F61" s="10" t="s">
        <v>13</v>
      </c>
      <c r="G61" s="7">
        <f>IFERROR(MATCH(F61,A:A,0),0)</f>
        <v>40</v>
      </c>
      <c r="H61" s="7">
        <f>IFERROR(MATCH(F61,B:B,0),0)</f>
        <v>21</v>
      </c>
      <c r="I61" s="7">
        <f>IFERROR(MATCH(F61,C:C,0),0)</f>
        <v>28</v>
      </c>
      <c r="J61" s="7">
        <f>IFERROR(MATCH(F61,D:D,0),0)</f>
        <v>0</v>
      </c>
      <c r="K61" s="7" t="str">
        <f>IF(G61=0,IF(J61=0,"","30days"),"30days")</f>
        <v>30days</v>
      </c>
      <c r="L61" s="7" t="str">
        <f>IF(H61=0,"","transit")</f>
        <v>transit</v>
      </c>
      <c r="M61" s="7" t="str">
        <f>IF(I61=0,"","hainan")</f>
        <v>hainan</v>
      </c>
      <c r="N61" s="7" t="s">
        <v>77</v>
      </c>
    </row>
    <row r="62" spans="1:14" x14ac:dyDescent="0.2">
      <c r="F62" s="11" t="s">
        <v>62</v>
      </c>
      <c r="G62" s="7">
        <f>IFERROR(MATCH(F62,A:A,0),0)</f>
        <v>0</v>
      </c>
      <c r="H62" s="7">
        <f>IFERROR(MATCH(F62,B:B,0),0)</f>
        <v>56</v>
      </c>
      <c r="I62" s="7">
        <f>IFERROR(MATCH(F62,C:C,0),0)</f>
        <v>61</v>
      </c>
      <c r="J62" s="7">
        <f>IFERROR(MATCH(F62,D:D,0),0)</f>
        <v>19</v>
      </c>
      <c r="K62" s="7" t="str">
        <f>IF(G62=0,IF(J62=0,"","30days"),"30days")</f>
        <v>30days</v>
      </c>
      <c r="L62" s="7" t="str">
        <f>IF(H62=0,"","transit")</f>
        <v>transit</v>
      </c>
      <c r="M62" s="7" t="str">
        <f>IF(I62=0,"","hainan")</f>
        <v>hainan</v>
      </c>
      <c r="N62" s="7" t="s">
        <v>77</v>
      </c>
    </row>
    <row r="63" spans="1:14" x14ac:dyDescent="0.2">
      <c r="F63" s="10" t="s">
        <v>25</v>
      </c>
      <c r="G63" s="7">
        <f>IFERROR(MATCH(F63,A:A,0),0)</f>
        <v>41</v>
      </c>
      <c r="H63" s="7">
        <f>IFERROR(MATCH(F63,B:B,0),0)</f>
        <v>33</v>
      </c>
      <c r="I63" s="7">
        <f>IFERROR(MATCH(F63,C:C,0),0)</f>
        <v>34</v>
      </c>
      <c r="J63" s="7">
        <f>IFERROR(MATCH(F63,D:D,0),0)</f>
        <v>0</v>
      </c>
      <c r="K63" s="7" t="str">
        <f>IF(G63=0,IF(J63=0,"","30days"),"30days")</f>
        <v>30days</v>
      </c>
      <c r="L63" s="7" t="str">
        <f>IF(H63=0,"","transit")</f>
        <v>transit</v>
      </c>
      <c r="M63" s="7" t="str">
        <f>IF(I63=0,"","hainan")</f>
        <v>hainan</v>
      </c>
      <c r="N63" s="7" t="s">
        <v>77</v>
      </c>
    </row>
    <row r="64" spans="1:14" x14ac:dyDescent="0.2">
      <c r="F64" s="10" t="s">
        <v>32</v>
      </c>
      <c r="G64" s="7">
        <f>IFERROR(MATCH(F64,A:A,0),0)</f>
        <v>42</v>
      </c>
      <c r="H64" s="7">
        <f>IFERROR(MATCH(F64,B:B,0),0)</f>
        <v>28</v>
      </c>
      <c r="I64" s="7">
        <f>IFERROR(MATCH(F64,C:C,0),0)</f>
        <v>3</v>
      </c>
      <c r="J64" s="7">
        <f>IFERROR(MATCH(F64,D:D,0),0)</f>
        <v>20</v>
      </c>
      <c r="K64" s="7" t="str">
        <f>IF(G64=0,IF(J64=0,"","30days"),"30days")</f>
        <v>30days</v>
      </c>
      <c r="L64" s="7" t="str">
        <f>IF(H64=0,"","transit")</f>
        <v>transit</v>
      </c>
      <c r="M64" s="7" t="str">
        <f>IF(I64=0,"","hainan")</f>
        <v>hainan</v>
      </c>
      <c r="N64" s="7" t="s">
        <v>77</v>
      </c>
    </row>
    <row r="65" spans="6:18" x14ac:dyDescent="0.2">
      <c r="F65" s="10" t="s">
        <v>90</v>
      </c>
      <c r="G65" s="7">
        <f>IFERROR(MATCH(F65,A:A,0),0)</f>
        <v>0</v>
      </c>
      <c r="H65" s="7">
        <f>IFERROR(MATCH(F65,B:B,0),0)</f>
        <v>0</v>
      </c>
      <c r="I65" s="7">
        <f>IFERROR(MATCH(F65,C:C,0),0)</f>
        <v>0</v>
      </c>
      <c r="J65" s="7">
        <f>IFERROR(MATCH(F65,D:D,0),0)</f>
        <v>21</v>
      </c>
      <c r="K65" s="7" t="str">
        <f>IF(G65=0,IF(J65=0,"","30days"),"30days")</f>
        <v>30days</v>
      </c>
      <c r="L65" s="7" t="str">
        <f>IF(H65=0,"","transit")</f>
        <v/>
      </c>
      <c r="M65" s="7" t="str">
        <f>IF(I65=0,"","hainan")</f>
        <v/>
      </c>
      <c r="N65" s="7" t="s">
        <v>76</v>
      </c>
    </row>
    <row r="66" spans="6:18" x14ac:dyDescent="0.2">
      <c r="F66" s="10" t="s">
        <v>91</v>
      </c>
      <c r="G66" s="7">
        <f>IFERROR(MATCH(F66,A:A,0),0)</f>
        <v>0</v>
      </c>
      <c r="H66" s="7">
        <f>IFERROR(MATCH(F66,B:B,0),0)</f>
        <v>0</v>
      </c>
      <c r="I66" s="7">
        <f>IFERROR(MATCH(F66,C:C,0),0)</f>
        <v>0</v>
      </c>
      <c r="J66" s="7">
        <f>IFERROR(MATCH(F66,D:D,0),0)</f>
        <v>22</v>
      </c>
      <c r="K66" s="7" t="str">
        <f>IF(G66=0,IF(J66=0,"","30days"),"30days")</f>
        <v>30days</v>
      </c>
      <c r="L66" s="7" t="str">
        <f>IF(H66=0,"","transit")</f>
        <v/>
      </c>
      <c r="M66" s="7" t="str">
        <f>IF(I66=0,"","hainan")</f>
        <v/>
      </c>
      <c r="N66" s="7" t="s">
        <v>76</v>
      </c>
    </row>
    <row r="67" spans="6:18" x14ac:dyDescent="0.2">
      <c r="F67" s="10" t="s">
        <v>39</v>
      </c>
      <c r="G67" s="7">
        <f>IFERROR(MATCH(F67,A:A,0),0)</f>
        <v>43</v>
      </c>
      <c r="H67" s="7">
        <f>IFERROR(MATCH(F67,B:B,0),0)</f>
        <v>0</v>
      </c>
      <c r="I67" s="7">
        <f>IFERROR(MATCH(F67,C:C,0),0)</f>
        <v>0</v>
      </c>
      <c r="J67" s="7">
        <f>IFERROR(MATCH(F67,D:D,0),0)</f>
        <v>0</v>
      </c>
      <c r="K67" s="7" t="str">
        <f>IF(G67=0,IF(J67=0,"","30days"),"30days")</f>
        <v>30days</v>
      </c>
      <c r="L67" s="7" t="str">
        <f>IF(H67=0,"","transit")</f>
        <v/>
      </c>
      <c r="M67" s="7" t="str">
        <f>IF(I67=0,"","hainan")</f>
        <v/>
      </c>
      <c r="N67" s="7" t="s">
        <v>76</v>
      </c>
      <c r="R67">
        <f>183-268</f>
        <v>-85</v>
      </c>
    </row>
    <row r="68" spans="6:18" x14ac:dyDescent="0.2">
      <c r="F68" s="11" t="s">
        <v>54</v>
      </c>
      <c r="G68" s="7">
        <f>IFERROR(MATCH(F68,A:A,0),0)</f>
        <v>0</v>
      </c>
      <c r="H68" s="7">
        <f>IFERROR(MATCH(F68,B:B,0),0)</f>
        <v>35</v>
      </c>
      <c r="I68" s="7">
        <f>IFERROR(MATCH(F68,C:C,0),0)</f>
        <v>35</v>
      </c>
      <c r="J68" s="7">
        <f>IFERROR(MATCH(F68,D:D,0),0)</f>
        <v>23</v>
      </c>
      <c r="K68" s="7" t="str">
        <f>IF(G68=0,IF(J68=0,"","30days"),"30days")</f>
        <v>30days</v>
      </c>
      <c r="L68" s="7" t="str">
        <f>IF(H68=0,"","transit")</f>
        <v>transit</v>
      </c>
      <c r="M68" s="7" t="str">
        <f>IF(I68=0,"","hainan")</f>
        <v>hainan</v>
      </c>
      <c r="N68" s="7" t="s">
        <v>77</v>
      </c>
    </row>
    <row r="69" spans="6:18" x14ac:dyDescent="0.2">
      <c r="F69" s="12" t="s">
        <v>92</v>
      </c>
      <c r="G69" s="7">
        <f>IFERROR(MATCH(F69,A:A,0),0)</f>
        <v>0</v>
      </c>
      <c r="H69" s="7">
        <f>IFERROR(MATCH(F69,B:B,0),0)</f>
        <v>0</v>
      </c>
      <c r="I69" s="7">
        <f>IFERROR(MATCH(F69,C:C,0),0)</f>
        <v>0</v>
      </c>
      <c r="J69" s="7">
        <f>IFERROR(MATCH(F69,D:D,0),0)</f>
        <v>24</v>
      </c>
      <c r="K69" s="7" t="str">
        <f>IF(G69=0,IF(J69=0,"","30days"),"30days")</f>
        <v>30days</v>
      </c>
      <c r="L69" s="7" t="str">
        <f>IF(H69=0,"","transit")</f>
        <v/>
      </c>
      <c r="M69" s="7" t="str">
        <f>IF(I69=0,"","hainan")</f>
        <v/>
      </c>
      <c r="N69" s="7" t="s">
        <v>76</v>
      </c>
    </row>
    <row r="70" spans="6:18" x14ac:dyDescent="0.2">
      <c r="F70" s="8" t="s">
        <v>60</v>
      </c>
      <c r="G70" s="7">
        <f>IFERROR(MATCH(F70,A:A,0),0)</f>
        <v>0</v>
      </c>
      <c r="H70" s="7">
        <f>IFERROR(MATCH(F70,B:B,0),0)</f>
        <v>53</v>
      </c>
      <c r="I70" s="7">
        <f>IFERROR(MATCH(F70,C:C,0),0)</f>
        <v>53</v>
      </c>
      <c r="J70" s="7">
        <f>IFERROR(MATCH(F70,D:D,0),0)</f>
        <v>25</v>
      </c>
      <c r="K70" s="7" t="str">
        <f>IF(G70=0,IF(J70=0,"","30days"),"30days")</f>
        <v>30days</v>
      </c>
      <c r="L70" s="7" t="str">
        <f>IF(H70=0,"","transit")</f>
        <v>transit</v>
      </c>
      <c r="M70" s="7" t="str">
        <f>IF(I70=0,"","hainan")</f>
        <v>hainan</v>
      </c>
      <c r="N70" s="7" t="s">
        <v>77</v>
      </c>
    </row>
    <row r="71" spans="6:18" x14ac:dyDescent="0.2">
      <c r="F71" s="9" t="s">
        <v>16</v>
      </c>
      <c r="G71" s="7">
        <f>IFERROR(MATCH(F71,A:A,0),0)</f>
        <v>44</v>
      </c>
      <c r="H71" s="7">
        <f>IFERROR(MATCH(F71,B:B,0),0)</f>
        <v>22</v>
      </c>
      <c r="I71" s="7">
        <f>IFERROR(MATCH(F71,C:C,0),0)</f>
        <v>29</v>
      </c>
      <c r="J71" s="7">
        <f>IFERROR(MATCH(F71,D:D,0),0)</f>
        <v>0</v>
      </c>
      <c r="K71" s="7" t="str">
        <f>IF(G71=0,IF(J71=0,"","30days"),"30days")</f>
        <v>30days</v>
      </c>
      <c r="L71" s="7" t="str">
        <f>IF(H71=0,"","transit")</f>
        <v>transit</v>
      </c>
      <c r="M71" s="7" t="str">
        <f>IF(I71=0,"","hainan")</f>
        <v>hainan</v>
      </c>
      <c r="N71" s="7" t="s">
        <v>77</v>
      </c>
    </row>
    <row r="72" spans="6:18" x14ac:dyDescent="0.2">
      <c r="F72" s="9" t="s">
        <v>12</v>
      </c>
      <c r="G72" s="7">
        <f>IFERROR(MATCH(F72,A:A,0),0)</f>
        <v>45</v>
      </c>
      <c r="H72" s="7">
        <f>IFERROR(MATCH(F72,B:B,0),0)</f>
        <v>23</v>
      </c>
      <c r="I72" s="7">
        <f>IFERROR(MATCH(F72,C:C,0),0)</f>
        <v>30</v>
      </c>
      <c r="J72" s="7">
        <f>IFERROR(MATCH(F72,D:D,0),0)</f>
        <v>0</v>
      </c>
      <c r="K72" s="7" t="str">
        <f>IF(G72=0,IF(J72=0,"","30days"),"30days")</f>
        <v>30days</v>
      </c>
      <c r="L72" s="7" t="str">
        <f>IF(H72=0,"","transit")</f>
        <v>transit</v>
      </c>
      <c r="M72" s="7" t="str">
        <f>IF(I72=0,"","hainan")</f>
        <v>hainan</v>
      </c>
      <c r="N72" s="7" t="s">
        <v>77</v>
      </c>
    </row>
    <row r="73" spans="6:18" x14ac:dyDescent="0.2">
      <c r="F73" s="12" t="s">
        <v>93</v>
      </c>
      <c r="G73" s="7">
        <f>IFERROR(MATCH(F73,A:A,0),0)</f>
        <v>0</v>
      </c>
      <c r="H73" s="7">
        <f>IFERROR(MATCH(F73,B:B,0),0)</f>
        <v>0</v>
      </c>
      <c r="I73" s="7">
        <f>IFERROR(MATCH(F73,C:C,0),0)</f>
        <v>0</v>
      </c>
      <c r="J73" s="7">
        <f>IFERROR(MATCH(F73,D:D,0),0)</f>
        <v>26</v>
      </c>
      <c r="K73" s="7" t="str">
        <f>IF(G73=0,IF(J73=0,"","30days"),"30days")</f>
        <v>30days</v>
      </c>
      <c r="L73" s="7" t="str">
        <f>IF(H73=0,"","transit")</f>
        <v/>
      </c>
      <c r="M73" s="7" t="str">
        <f>IF(I73=0,"","hainan")</f>
        <v/>
      </c>
      <c r="N73" s="7" t="s">
        <v>76</v>
      </c>
    </row>
    <row r="74" spans="6:18" x14ac:dyDescent="0.2">
      <c r="F74" s="9" t="s">
        <v>37</v>
      </c>
      <c r="G74" s="7">
        <f>IFERROR(MATCH(F74,A:A,0),0)</f>
        <v>46</v>
      </c>
      <c r="H74" s="7">
        <f>IFERROR(MATCH(F74,B:B,0),0)</f>
        <v>51</v>
      </c>
      <c r="I74" s="7">
        <f>IFERROR(MATCH(F74,C:C,0),0)</f>
        <v>51</v>
      </c>
      <c r="J74" s="7">
        <f>IFERROR(MATCH(F74,D:D,0),0)</f>
        <v>0</v>
      </c>
      <c r="K74" s="7" t="str">
        <f>IF(G74=0,IF(J74=0,"","30days"),"30days")</f>
        <v>30days</v>
      </c>
      <c r="L74" s="7" t="str">
        <f>IF(H74=0,"","transit")</f>
        <v>transit</v>
      </c>
      <c r="M74" s="7" t="str">
        <f>IF(I74=0,"","hainan")</f>
        <v>hainan</v>
      </c>
      <c r="N74" s="7" t="s">
        <v>77</v>
      </c>
    </row>
    <row r="75" spans="6:18" x14ac:dyDescent="0.2">
      <c r="F75" s="9" t="s">
        <v>4</v>
      </c>
      <c r="G75" s="7">
        <f>IFERROR(MATCH(F75,A:A,0),0)</f>
        <v>47</v>
      </c>
      <c r="H75" s="7">
        <f>IFERROR(MATCH(F75,B:B,0),0)</f>
        <v>24</v>
      </c>
      <c r="I75" s="7">
        <f>IFERROR(MATCH(F75,C:C,0),0)</f>
        <v>16</v>
      </c>
      <c r="J75" s="7">
        <f>IFERROR(MATCH(F75,D:D,0),0)</f>
        <v>0</v>
      </c>
      <c r="K75" s="7" t="str">
        <f>IF(G75=0,IF(J75=0,"","30days"),"30days")</f>
        <v>30days</v>
      </c>
      <c r="L75" s="7" t="str">
        <f>IF(H75=0,"","transit")</f>
        <v>transit</v>
      </c>
      <c r="M75" s="7" t="str">
        <f>IF(I75=0,"","hainan")</f>
        <v>hainan</v>
      </c>
      <c r="N75" s="7" t="s">
        <v>77</v>
      </c>
    </row>
    <row r="76" spans="6:18" x14ac:dyDescent="0.2">
      <c r="F76" s="12" t="s">
        <v>94</v>
      </c>
      <c r="G76" s="7">
        <f>IFERROR(MATCH(F76,A:A,0),0)</f>
        <v>0</v>
      </c>
      <c r="H76" s="7">
        <f>IFERROR(MATCH(F76,B:B,0),0)</f>
        <v>0</v>
      </c>
      <c r="I76" s="7">
        <f>IFERROR(MATCH(F76,C:C,0),0)</f>
        <v>0</v>
      </c>
      <c r="J76" s="7">
        <f>IFERROR(MATCH(F76,D:D,0),0)</f>
        <v>27</v>
      </c>
      <c r="K76" s="7" t="str">
        <f>IF(G76=0,IF(J76=0,"","30days"),"30days")</f>
        <v>30days</v>
      </c>
      <c r="L76" s="7" t="str">
        <f>IF(H76=0,"","transit")</f>
        <v/>
      </c>
      <c r="M76" s="7" t="str">
        <f>IF(I76=0,"","hainan")</f>
        <v/>
      </c>
      <c r="N76" s="7" t="s">
        <v>76</v>
      </c>
    </row>
    <row r="77" spans="6:18" x14ac:dyDescent="0.2">
      <c r="F77" s="9" t="s">
        <v>33</v>
      </c>
      <c r="G77" s="7">
        <f>IFERROR(MATCH(F77,A:A,0),0)</f>
        <v>48</v>
      </c>
      <c r="H77" s="7">
        <f>IFERROR(MATCH(F77,B:B,0),0)</f>
        <v>25</v>
      </c>
      <c r="I77" s="7">
        <f>IFERROR(MATCH(F77,C:C,0),0)</f>
        <v>15</v>
      </c>
      <c r="J77" s="7">
        <f>IFERROR(MATCH(F77,D:D,0),0)</f>
        <v>0</v>
      </c>
      <c r="K77" s="7" t="str">
        <f>IF(G77=0,IF(J77=0,"","30days"),"30days")</f>
        <v>30days</v>
      </c>
      <c r="L77" s="7" t="str">
        <f>IF(H77=0,"","transit")</f>
        <v>transit</v>
      </c>
      <c r="M77" s="7" t="str">
        <f>IF(I77=0,"","hainan")</f>
        <v>hainan</v>
      </c>
      <c r="N77" s="7" t="s">
        <v>77</v>
      </c>
    </row>
    <row r="78" spans="6:18" x14ac:dyDescent="0.2">
      <c r="F78" s="9" t="s">
        <v>5</v>
      </c>
      <c r="G78" s="7">
        <f>IFERROR(MATCH(F78,A:A,0),0)</f>
        <v>49</v>
      </c>
      <c r="H78" s="7">
        <f>IFERROR(MATCH(F78,B:B,0),0)</f>
        <v>26</v>
      </c>
      <c r="I78" s="7">
        <f>IFERROR(MATCH(F78,C:C,0),0)</f>
        <v>14</v>
      </c>
      <c r="J78" s="7">
        <f>IFERROR(MATCH(F78,D:D,0),0)</f>
        <v>0</v>
      </c>
      <c r="K78" s="7" t="str">
        <f>IF(G78=0,IF(J78=0,"","30days"),"30days")</f>
        <v>30days</v>
      </c>
      <c r="L78" s="7" t="str">
        <f>IF(H78=0,"","transit")</f>
        <v>transit</v>
      </c>
      <c r="M78" s="7" t="str">
        <f>IF(I78=0,"","hainan")</f>
        <v>hainan</v>
      </c>
      <c r="N78" s="7" t="s">
        <v>77</v>
      </c>
    </row>
    <row r="79" spans="6:18" x14ac:dyDescent="0.2">
      <c r="F79" s="8" t="s">
        <v>66</v>
      </c>
      <c r="G79" s="7">
        <f>IFERROR(MATCH(F79,A:A,0),0)</f>
        <v>0</v>
      </c>
      <c r="H79" s="7">
        <f>IFERROR(MATCH(F79,B:B,0),0)</f>
        <v>0</v>
      </c>
      <c r="I79" s="7">
        <f>IFERROR(MATCH(F79,C:C,0),0)</f>
        <v>55</v>
      </c>
      <c r="J79" s="7">
        <f>IFERROR(MATCH(F79,D:D,0),0)</f>
        <v>28</v>
      </c>
      <c r="K79" s="7" t="str">
        <f>IF(G79=0,IF(J79=0,"","30days"),"30days")</f>
        <v>30days</v>
      </c>
      <c r="L79" s="7" t="str">
        <f>IF(H79=0,"","transit")</f>
        <v/>
      </c>
      <c r="M79" s="7" t="str">
        <f>IF(I79=0,"","hainan")</f>
        <v>hainan</v>
      </c>
      <c r="N79" s="7" t="s">
        <v>103</v>
      </c>
    </row>
    <row r="80" spans="6:18" x14ac:dyDescent="0.2">
      <c r="F80" s="12" t="s">
        <v>98</v>
      </c>
      <c r="G80" s="7">
        <f>IFERROR(MATCH(F80,A:A,0),0)</f>
        <v>0</v>
      </c>
      <c r="H80" s="7">
        <f>IFERROR(MATCH(F80,B:B,0),0)</f>
        <v>0</v>
      </c>
      <c r="I80" s="7">
        <f>IFERROR(MATCH(F80,C:C,0),0)</f>
        <v>0</v>
      </c>
      <c r="J80" s="7">
        <f>IFERROR(MATCH(F80,D:D,0),0)</f>
        <v>29</v>
      </c>
      <c r="K80" s="7" t="str">
        <f>IF(G80=0,IF(J80=0,"","30days"),"30days")</f>
        <v>30days</v>
      </c>
      <c r="L80" s="7" t="str">
        <f>IF(H80=0,"","transit")</f>
        <v/>
      </c>
      <c r="M80" s="7" t="str">
        <f>IF(I80=0,"","hainan")</f>
        <v/>
      </c>
      <c r="N80" s="7" t="s">
        <v>76</v>
      </c>
    </row>
    <row r="81" spans="6:14" x14ac:dyDescent="0.2">
      <c r="F81" s="12" t="s">
        <v>95</v>
      </c>
      <c r="G81" s="7">
        <f>IFERROR(MATCH(F81,A:A,0),0)</f>
        <v>0</v>
      </c>
      <c r="H81" s="7">
        <f>IFERROR(MATCH(F81,B:B,0),0)</f>
        <v>0</v>
      </c>
      <c r="I81" s="7">
        <f>IFERROR(MATCH(F81,C:C,0),0)</f>
        <v>0</v>
      </c>
      <c r="J81" s="7">
        <f>IFERROR(MATCH(F81,D:D,0),0)</f>
        <v>30</v>
      </c>
      <c r="K81" s="7" t="str">
        <f>IF(G81=0,IF(J81=0,"","30days"),"30days")</f>
        <v>30days</v>
      </c>
      <c r="L81" s="7" t="str">
        <f>IF(H81=0,"","transit")</f>
        <v/>
      </c>
      <c r="M81" s="7" t="str">
        <f>IF(I81=0,"","hainan")</f>
        <v/>
      </c>
      <c r="N81" s="7" t="s">
        <v>76</v>
      </c>
    </row>
    <row r="82" spans="6:14" x14ac:dyDescent="0.2">
      <c r="F82" s="8" t="s">
        <v>53</v>
      </c>
      <c r="G82" s="7">
        <f>IFERROR(MATCH(F82,A:A,0),0)</f>
        <v>0</v>
      </c>
      <c r="H82" s="7">
        <f>IFERROR(MATCH(F82,B:B,0),0)</f>
        <v>34</v>
      </c>
      <c r="I82" s="7">
        <f>IFERROR(MATCH(F82,C:C,0),0)</f>
        <v>8</v>
      </c>
      <c r="J82" s="7">
        <f>IFERROR(MATCH(F82,D:D,0),0)</f>
        <v>0</v>
      </c>
      <c r="K82" s="7" t="str">
        <f>IF(G82=0,IF(J82=0,"","30days"),"30days")</f>
        <v/>
      </c>
      <c r="L82" s="7" t="str">
        <f>IF(H82=0,"","transit")</f>
        <v>transit</v>
      </c>
      <c r="M82" s="7" t="str">
        <f>IF(I82=0,"","hainan")</f>
        <v>hainan</v>
      </c>
      <c r="N82" s="7" t="s">
        <v>75</v>
      </c>
    </row>
    <row r="83" spans="6:14" x14ac:dyDescent="0.2">
      <c r="F83" s="8" t="s">
        <v>61</v>
      </c>
      <c r="G83" s="7">
        <f>IFERROR(MATCH(F83,A:A,0),0)</f>
        <v>0</v>
      </c>
      <c r="H83" s="7">
        <f>IFERROR(MATCH(F83,B:B,0),0)</f>
        <v>55</v>
      </c>
      <c r="I83" s="7">
        <f>IFERROR(MATCH(F83,C:C,0),0)</f>
        <v>60</v>
      </c>
      <c r="J83" s="7">
        <f>IFERROR(MATCH(F83,D:D,0),0)</f>
        <v>31</v>
      </c>
      <c r="K83" s="7" t="str">
        <f>IF(G83=0,IF(J83=0,"","30days"),"30days")</f>
        <v>30days</v>
      </c>
      <c r="L83" s="7" t="str">
        <f>IF(H83=0,"","transit")</f>
        <v>transit</v>
      </c>
      <c r="M83" s="7" t="str">
        <f>IF(I83=0,"","hainan")</f>
        <v>hainan</v>
      </c>
      <c r="N83" s="7" t="s">
        <v>77</v>
      </c>
    </row>
    <row r="84" spans="6:14" x14ac:dyDescent="0.2">
      <c r="F84" s="8" t="s">
        <v>52</v>
      </c>
      <c r="G84" s="7">
        <f>IFERROR(MATCH(F84,A:A,0),0)</f>
        <v>50</v>
      </c>
      <c r="H84" s="7">
        <f>IFERROR(MATCH(F84,B:B,0),0)</f>
        <v>29</v>
      </c>
      <c r="I84" s="7">
        <f>IFERROR(MATCH(F84,C:C,0),0)</f>
        <v>4</v>
      </c>
      <c r="J84" s="7">
        <f>IFERROR(MATCH(F84,D:D,0),0)</f>
        <v>0</v>
      </c>
      <c r="K84" s="7" t="str">
        <f>IF(G84=0,IF(J84=0,"","30days"),"30days")</f>
        <v>30days</v>
      </c>
      <c r="L84" s="7" t="str">
        <f>IF(H84=0,"","transit")</f>
        <v>transit</v>
      </c>
      <c r="M84" s="7" t="str">
        <f>IF(I84=0,"","hainan")</f>
        <v>hainan</v>
      </c>
      <c r="N84" s="7" t="s">
        <v>77</v>
      </c>
    </row>
    <row r="85" spans="6:14" x14ac:dyDescent="0.2">
      <c r="F85" s="8" t="s">
        <v>58</v>
      </c>
      <c r="G85" s="7">
        <f>IFERROR(MATCH(F85,A:A,0),0)</f>
        <v>0</v>
      </c>
      <c r="H85" s="7">
        <f>IFERROR(MATCH(F85,B:B,0),0)</f>
        <v>43</v>
      </c>
      <c r="I85" s="7">
        <f>IFERROR(MATCH(F85,C:C,0),0)</f>
        <v>43</v>
      </c>
      <c r="J85" s="7">
        <f>IFERROR(MATCH(F85,D:D,0),0)</f>
        <v>0</v>
      </c>
      <c r="K85" s="7" t="str">
        <f>IF(G85=0,IF(J85=0,"","30days"),"30days")</f>
        <v/>
      </c>
      <c r="L85" s="7" t="str">
        <f>IF(H85=0,"","transit")</f>
        <v>transit</v>
      </c>
      <c r="M85" s="7" t="str">
        <f>IF(I85=0,"","hainan")</f>
        <v>hainan</v>
      </c>
      <c r="N85" s="7" t="s">
        <v>75</v>
      </c>
    </row>
    <row r="86" spans="6:14" x14ac:dyDescent="0.2">
      <c r="F86" s="9" t="s">
        <v>47</v>
      </c>
      <c r="G86" s="7">
        <f>IFERROR(MATCH(F86,A:A,0),0)</f>
        <v>51</v>
      </c>
      <c r="H86" s="7">
        <f>IFERROR(MATCH(F86,B:B,0),0)</f>
        <v>0</v>
      </c>
      <c r="I86" s="7">
        <f>IFERROR(MATCH(F86,C:C,0),0)</f>
        <v>0</v>
      </c>
      <c r="J86" s="7">
        <f>IFERROR(MATCH(F86,D:D,0),0)</f>
        <v>0</v>
      </c>
      <c r="K86" s="7" t="str">
        <f>IF(G86=0,IF(J86=0,"","30days"),"30days")</f>
        <v>30days</v>
      </c>
      <c r="L86" s="7" t="str">
        <f>IF(H86=0,"","transit")</f>
        <v/>
      </c>
      <c r="M86" s="7" t="str">
        <f>IF(I86=0,"","hainan")</f>
        <v/>
      </c>
      <c r="N86" s="7" t="s">
        <v>76</v>
      </c>
    </row>
    <row r="87" spans="6:14" x14ac:dyDescent="0.2">
      <c r="F87" s="12" t="s">
        <v>96</v>
      </c>
      <c r="G87" s="7">
        <f>IFERROR(MATCH(F87,A:A,0),0)</f>
        <v>0</v>
      </c>
      <c r="H87" s="7">
        <f>IFERROR(MATCH(F87,B:B,0),0)</f>
        <v>0</v>
      </c>
      <c r="I87" s="7">
        <f>IFERROR(MATCH(F87,C:C,0),0)</f>
        <v>0</v>
      </c>
      <c r="J87" s="7">
        <f>IFERROR(MATCH(F87,D:D,0),0)</f>
        <v>32</v>
      </c>
      <c r="K87" s="7" t="str">
        <f>IF(G87=0,IF(J87=0,"","30days"),"30days")</f>
        <v>30days</v>
      </c>
      <c r="L87" s="7" t="str">
        <f>IF(H87=0,"","transit")</f>
        <v/>
      </c>
      <c r="M87" s="7" t="str">
        <f>IF(I87=0,"","hainan")</f>
        <v/>
      </c>
      <c r="N87" s="7" t="s">
        <v>76</v>
      </c>
    </row>
    <row r="88" spans="6:14" x14ac:dyDescent="0.2">
      <c r="G88" s="7">
        <f>IFERROR(MATCH(F88,A:A,0),0)</f>
        <v>0</v>
      </c>
      <c r="H88" s="7">
        <f>IFERROR(MATCH(F88,B:B,0),0)</f>
        <v>0</v>
      </c>
      <c r="I88" s="7">
        <f>IFERROR(MATCH(F88,C:C,0),0)</f>
        <v>0</v>
      </c>
      <c r="J88" s="7">
        <f>IFERROR(MATCH(F88,D:D,0),0)</f>
        <v>0</v>
      </c>
      <c r="K88" s="7" t="str">
        <f>IF(G88=0,IF(J88=0,"","30days"),"30days")</f>
        <v/>
      </c>
      <c r="L88" s="7" t="str">
        <f>IF(H88=0,"","transit")</f>
        <v/>
      </c>
      <c r="M88" s="7" t="str">
        <f>IF(I88=0,"","hainan")</f>
        <v/>
      </c>
    </row>
    <row r="89" spans="6:14" x14ac:dyDescent="0.2">
      <c r="G89" s="7">
        <f>IFERROR(MATCH(F89,A:A,0),0)</f>
        <v>0</v>
      </c>
      <c r="H89" s="7">
        <f>IFERROR(MATCH(F89,B:B,0),0)</f>
        <v>0</v>
      </c>
      <c r="I89" s="7">
        <f>IFERROR(MATCH(F89,C:C,0),0)</f>
        <v>0</v>
      </c>
      <c r="J89" s="7">
        <f>IFERROR(MATCH(F89,D:D,0),0)</f>
        <v>0</v>
      </c>
      <c r="K89" s="7" t="str">
        <f>IF(G89=0,IF(J89=0,"","30days"),"30days")</f>
        <v/>
      </c>
      <c r="L89" s="7" t="str">
        <f>IF(H89=0,"","transit")</f>
        <v/>
      </c>
      <c r="M89" s="7" t="str">
        <f>IF(I89=0,"","hainan")</f>
        <v/>
      </c>
    </row>
    <row r="90" spans="6:14" x14ac:dyDescent="0.2">
      <c r="G90" s="7">
        <f>IFERROR(MATCH(F90,A:A,0),0)</f>
        <v>0</v>
      </c>
      <c r="H90" s="7">
        <f>IFERROR(MATCH(F90,B:B,0),0)</f>
        <v>0</v>
      </c>
      <c r="I90" s="7">
        <f>IFERROR(MATCH(F90,C:C,0),0)</f>
        <v>0</v>
      </c>
      <c r="J90" s="7">
        <f>IFERROR(MATCH(F90,D:D,0),0)</f>
        <v>0</v>
      </c>
      <c r="K90" s="7" t="str">
        <f>IF(G90=0,IF(J90=0,"","30days"),"30days")</f>
        <v/>
      </c>
      <c r="L90" s="7" t="str">
        <f>IF(H90=0,"","transit")</f>
        <v/>
      </c>
      <c r="M90" s="7" t="str">
        <f>IF(I90=0,"","hainan")</f>
        <v/>
      </c>
    </row>
    <row r="91" spans="6:14" x14ac:dyDescent="0.2">
      <c r="G91" s="7">
        <f>IFERROR(MATCH(F91,A:A,0),0)</f>
        <v>0</v>
      </c>
      <c r="H91" s="7">
        <f>IFERROR(MATCH(F91,B:B,0),0)</f>
        <v>0</v>
      </c>
      <c r="I91" s="7">
        <f>IFERROR(MATCH(F91,C:C,0),0)</f>
        <v>0</v>
      </c>
      <c r="J91" s="7">
        <f>IFERROR(MATCH(F91,D:D,0),0)</f>
        <v>0</v>
      </c>
      <c r="K91" s="7" t="str">
        <f>IF(G91=0,IF(J91=0,"","30days"),"30days")</f>
        <v/>
      </c>
      <c r="L91" s="7" t="str">
        <f>IF(H91=0,"","transit")</f>
        <v/>
      </c>
      <c r="M91" s="7" t="str">
        <f>IF(I91=0,"","hainan")</f>
        <v/>
      </c>
    </row>
    <row r="92" spans="6:14" x14ac:dyDescent="0.2">
      <c r="G92" s="7">
        <f>IFERROR(MATCH(F92,A:A,0),0)</f>
        <v>0</v>
      </c>
      <c r="H92" s="7">
        <f>IFERROR(MATCH(F92,B:B,0),0)</f>
        <v>0</v>
      </c>
      <c r="I92" s="7">
        <f>IFERROR(MATCH(F92,C:C,0),0)</f>
        <v>0</v>
      </c>
      <c r="J92" s="7">
        <f>IFERROR(MATCH(F92,D:D,0),0)</f>
        <v>0</v>
      </c>
      <c r="K92" s="7" t="str">
        <f>IF(G92=0,IF(J92=0,"","30days"),"30days")</f>
        <v/>
      </c>
      <c r="L92" s="7" t="str">
        <f>IF(H92=0,"","transit")</f>
        <v/>
      </c>
      <c r="M92" s="7" t="str">
        <f>IF(I92=0,"","hainan")</f>
        <v/>
      </c>
    </row>
    <row r="93" spans="6:14" x14ac:dyDescent="0.2">
      <c r="G93" s="7">
        <f>IFERROR(MATCH(F93,A:A,0),0)</f>
        <v>0</v>
      </c>
      <c r="H93" s="7">
        <f>IFERROR(MATCH(F93,B:B,0),0)</f>
        <v>0</v>
      </c>
      <c r="I93" s="7">
        <f>IFERROR(MATCH(F93,C:C,0),0)</f>
        <v>0</v>
      </c>
      <c r="J93" s="7">
        <f>IFERROR(MATCH(F93,D:D,0),0)</f>
        <v>0</v>
      </c>
      <c r="K93" s="7" t="str">
        <f>IF(G93=0,IF(J93=0,"","30days"),"30days")</f>
        <v/>
      </c>
      <c r="L93" s="7" t="str">
        <f>IF(H93=0,"","transit")</f>
        <v/>
      </c>
      <c r="M93" s="7" t="str">
        <f>IF(I93=0,"","hainan")</f>
        <v/>
      </c>
    </row>
    <row r="94" spans="6:14" x14ac:dyDescent="0.2">
      <c r="G94" s="7">
        <f>IFERROR(MATCH(F94,A:A,0),0)</f>
        <v>0</v>
      </c>
      <c r="H94" s="7">
        <f>IFERROR(MATCH(F94,B:B,0),0)</f>
        <v>0</v>
      </c>
      <c r="I94" s="7">
        <f>IFERROR(MATCH(F94,C:C,0),0)</f>
        <v>0</v>
      </c>
      <c r="J94" s="7">
        <f>IFERROR(MATCH(F94,D:D,0),0)</f>
        <v>0</v>
      </c>
      <c r="K94" s="7" t="str">
        <f>IF(G94=0,IF(J94=0,"","30days"),"30days")</f>
        <v/>
      </c>
      <c r="L94" s="7" t="str">
        <f>IF(H94=0,"","transit")</f>
        <v/>
      </c>
      <c r="M94" s="7" t="str">
        <f>IF(I94=0,"","hainan")</f>
        <v/>
      </c>
    </row>
    <row r="95" spans="6:14" x14ac:dyDescent="0.2">
      <c r="G95" s="7">
        <f>IFERROR(MATCH(F95,A:A,0),0)</f>
        <v>0</v>
      </c>
      <c r="H95" s="7">
        <f>IFERROR(MATCH(F95,B:B,0),0)</f>
        <v>0</v>
      </c>
      <c r="I95" s="7">
        <f>IFERROR(MATCH(F95,C:C,0),0)</f>
        <v>0</v>
      </c>
      <c r="J95" s="7">
        <f>IFERROR(MATCH(F95,D:D,0),0)</f>
        <v>0</v>
      </c>
      <c r="K95" s="7" t="str">
        <f>IF(G95=0,IF(J95=0,"","30days"),"30days")</f>
        <v/>
      </c>
      <c r="L95" s="7" t="str">
        <f>IF(H95=0,"","transit")</f>
        <v/>
      </c>
      <c r="M95" s="7" t="str">
        <f>IF(I95=0,"","hainan")</f>
        <v/>
      </c>
    </row>
    <row r="96" spans="6:14" x14ac:dyDescent="0.2">
      <c r="G96" s="7">
        <f>IFERROR(MATCH(F96,A:A,0),0)</f>
        <v>0</v>
      </c>
      <c r="H96" s="7">
        <f>IFERROR(MATCH(F96,B:B,0),0)</f>
        <v>0</v>
      </c>
      <c r="I96" s="7">
        <f>IFERROR(MATCH(F96,C:C,0),0)</f>
        <v>0</v>
      </c>
      <c r="J96" s="7">
        <f>IFERROR(MATCH(F96,D:D,0),0)</f>
        <v>0</v>
      </c>
      <c r="K96" s="7" t="str">
        <f>IF(G96=0,IF(J96=0,"","30days"),"30days")</f>
        <v/>
      </c>
      <c r="L96" s="7" t="str">
        <f>IF(H96=0,"","transit")</f>
        <v/>
      </c>
      <c r="M96" s="7" t="str">
        <f>IF(I96=0,"","hainan")</f>
        <v/>
      </c>
    </row>
    <row r="97" spans="7:13" x14ac:dyDescent="0.2">
      <c r="G97" s="7">
        <f>IFERROR(MATCH(F97,A:A,0),0)</f>
        <v>0</v>
      </c>
      <c r="H97" s="7">
        <f>IFERROR(MATCH(F97,B:B,0),0)</f>
        <v>0</v>
      </c>
      <c r="I97" s="7">
        <f>IFERROR(MATCH(F97,C:C,0),0)</f>
        <v>0</v>
      </c>
      <c r="J97" s="7">
        <f>IFERROR(MATCH(F97,D:D,0),0)</f>
        <v>0</v>
      </c>
      <c r="K97" s="7" t="str">
        <f>IF(G97=0,IF(J97=0,"","30days"),"30days")</f>
        <v/>
      </c>
      <c r="L97" s="7" t="str">
        <f>IF(H97=0,"","transit")</f>
        <v/>
      </c>
      <c r="M97" s="7" t="str">
        <f>IF(I97=0,"","hainan")</f>
        <v/>
      </c>
    </row>
    <row r="98" spans="7:13" x14ac:dyDescent="0.2">
      <c r="G98" s="7">
        <f>IFERROR(MATCH(F98,A:A,0),0)</f>
        <v>0</v>
      </c>
      <c r="H98" s="7">
        <f>IFERROR(MATCH(F98,B:B,0),0)</f>
        <v>0</v>
      </c>
      <c r="I98" s="7">
        <f>IFERROR(MATCH(F98,C:C,0),0)</f>
        <v>0</v>
      </c>
      <c r="J98" s="7">
        <f>IFERROR(MATCH(F98,D:D,0),0)</f>
        <v>0</v>
      </c>
      <c r="K98" s="7" t="str">
        <f>IF(G98=0,IF(J98=0,"","30days"),"30days")</f>
        <v/>
      </c>
      <c r="L98" s="7" t="str">
        <f>IF(H98=0,"","transit")</f>
        <v/>
      </c>
      <c r="M98" s="7" t="str">
        <f>IF(I98=0,"","hainan")</f>
        <v/>
      </c>
    </row>
    <row r="99" spans="7:13" x14ac:dyDescent="0.2">
      <c r="G99" s="7">
        <f>IFERROR(MATCH(F99,A:A,0),0)</f>
        <v>0</v>
      </c>
      <c r="H99" s="7">
        <f>IFERROR(MATCH(F99,B:B,0),0)</f>
        <v>0</v>
      </c>
      <c r="I99" s="7">
        <f>IFERROR(MATCH(F99,C:C,0),0)</f>
        <v>0</v>
      </c>
      <c r="J99" s="7">
        <f>IFERROR(MATCH(F99,D:D,0),0)</f>
        <v>0</v>
      </c>
      <c r="K99" s="7" t="str">
        <f>IF(G99=0,IF(J99=0,"","30days"),"30days")</f>
        <v/>
      </c>
      <c r="L99" s="7" t="str">
        <f>IF(H99=0,"","transit")</f>
        <v/>
      </c>
      <c r="M99" s="7" t="str">
        <f>IF(I99=0,"","hainan")</f>
        <v/>
      </c>
    </row>
    <row r="100" spans="7:13" x14ac:dyDescent="0.2">
      <c r="G100" s="7">
        <f>IFERROR(MATCH(F100,A:A,0),0)</f>
        <v>0</v>
      </c>
      <c r="H100" s="7">
        <f>IFERROR(MATCH(F100,B:B,0),0)</f>
        <v>0</v>
      </c>
      <c r="I100" s="7">
        <f>IFERROR(MATCH(F100,C:C,0),0)</f>
        <v>0</v>
      </c>
      <c r="J100" s="7">
        <f>IFERROR(MATCH(F100,D:D,0),0)</f>
        <v>0</v>
      </c>
      <c r="K100" s="7" t="str">
        <f>IF(G100=0,IF(J100=0,"","30days"),"30days")</f>
        <v/>
      </c>
      <c r="L100" s="7" t="str">
        <f>IF(H100=0,"","transit")</f>
        <v/>
      </c>
      <c r="M100" s="7" t="str">
        <f>IF(I100=0,"","hainan")</f>
        <v/>
      </c>
    </row>
    <row r="101" spans="7:13" x14ac:dyDescent="0.2">
      <c r="G101" s="7">
        <f>IFERROR(MATCH(F101,A:A,0),0)</f>
        <v>0</v>
      </c>
      <c r="H101" s="7">
        <f>IFERROR(MATCH(F101,B:B,0),0)</f>
        <v>0</v>
      </c>
      <c r="I101" s="7">
        <f>IFERROR(MATCH(F101,C:C,0),0)</f>
        <v>0</v>
      </c>
      <c r="J101" s="7">
        <f>IFERROR(MATCH(F101,D:D,0),0)</f>
        <v>0</v>
      </c>
      <c r="K101" s="7" t="str">
        <f>IF(G101=0,IF(J101=0,"","30days"),"30days")</f>
        <v/>
      </c>
      <c r="L101" s="7" t="str">
        <f>IF(H101=0,"","transit")</f>
        <v/>
      </c>
      <c r="M101" s="7" t="str">
        <f>IF(I101=0,"","hainan")</f>
        <v/>
      </c>
    </row>
    <row r="102" spans="7:13" x14ac:dyDescent="0.2">
      <c r="G102" s="7">
        <f>IFERROR(MATCH(F102,A:A,0),0)</f>
        <v>0</v>
      </c>
      <c r="H102" s="7">
        <f>IFERROR(MATCH(F102,B:B,0),0)</f>
        <v>0</v>
      </c>
      <c r="I102" s="7">
        <f>IFERROR(MATCH(F102,C:C,0),0)</f>
        <v>0</v>
      </c>
      <c r="J102" s="7">
        <f>IFERROR(MATCH(F102,D:D,0),0)</f>
        <v>0</v>
      </c>
      <c r="K102" s="7" t="str">
        <f>IF(G102=0,IF(J102=0,"","30days"),"30days")</f>
        <v/>
      </c>
      <c r="L102" s="7" t="str">
        <f>IF(H102=0,"","transit")</f>
        <v/>
      </c>
      <c r="M102" s="7" t="str">
        <f>IF(I102=0,"","hainan")</f>
        <v/>
      </c>
    </row>
    <row r="103" spans="7:13" x14ac:dyDescent="0.2">
      <c r="G103" s="7">
        <f>IFERROR(MATCH(F103,A:A,0),0)</f>
        <v>0</v>
      </c>
      <c r="H103" s="7">
        <f>IFERROR(MATCH(F103,B:B,0),0)</f>
        <v>0</v>
      </c>
      <c r="I103" s="7">
        <f>IFERROR(MATCH(F103,C:C,0),0)</f>
        <v>0</v>
      </c>
      <c r="J103" s="7">
        <f>IFERROR(MATCH(F103,D:D,0),0)</f>
        <v>0</v>
      </c>
      <c r="K103" s="7" t="str">
        <f>IF(G103=0,IF(J103=0,"","30days"),"30days")</f>
        <v/>
      </c>
      <c r="L103" s="7" t="str">
        <f>IF(H103=0,"","transit")</f>
        <v/>
      </c>
      <c r="M103" s="7" t="str">
        <f>IF(I103=0,"","hainan")</f>
        <v/>
      </c>
    </row>
    <row r="104" spans="7:13" x14ac:dyDescent="0.2">
      <c r="G104" s="7">
        <f>IFERROR(MATCH(F104,A:A,0),0)</f>
        <v>0</v>
      </c>
      <c r="H104" s="7">
        <f>IFERROR(MATCH(F104,B:B,0),0)</f>
        <v>0</v>
      </c>
      <c r="I104" s="7">
        <f>IFERROR(MATCH(F104,C:C,0),0)</f>
        <v>0</v>
      </c>
      <c r="J104" s="7">
        <f>IFERROR(MATCH(F104,D:D,0),0)</f>
        <v>0</v>
      </c>
      <c r="K104" s="7" t="str">
        <f>IF(G104=0,IF(J104=0,"","30days"),"30days")</f>
        <v/>
      </c>
      <c r="L104" s="7" t="str">
        <f>IF(H104=0,"","transit")</f>
        <v/>
      </c>
      <c r="M104" s="7" t="str">
        <f>IF(I104=0,"","hainan")</f>
        <v/>
      </c>
    </row>
    <row r="105" spans="7:13" x14ac:dyDescent="0.2">
      <c r="G105" s="7">
        <f>IFERROR(MATCH(F105,A:A,0),0)</f>
        <v>0</v>
      </c>
      <c r="H105" s="7">
        <f>IFERROR(MATCH(F105,B:B,0),0)</f>
        <v>0</v>
      </c>
      <c r="I105" s="7">
        <f>IFERROR(MATCH(F105,C:C,0),0)</f>
        <v>0</v>
      </c>
      <c r="J105" s="7">
        <f>IFERROR(MATCH(F105,D:D,0),0)</f>
        <v>0</v>
      </c>
      <c r="K105" s="7" t="str">
        <f>IF(G105=0,IF(J105=0,"","30days"),"30days")</f>
        <v/>
      </c>
      <c r="L105" s="7" t="str">
        <f>IF(H105=0,"","transit")</f>
        <v/>
      </c>
      <c r="M105" s="7" t="str">
        <f>IF(I105=0,"","hainan")</f>
        <v/>
      </c>
    </row>
    <row r="106" spans="7:13" x14ac:dyDescent="0.2">
      <c r="G106" s="7">
        <f>IFERROR(MATCH(F106,A:A,0),0)</f>
        <v>0</v>
      </c>
      <c r="H106" s="7">
        <f>IFERROR(MATCH(F106,B:B,0),0)</f>
        <v>0</v>
      </c>
      <c r="I106" s="7">
        <f>IFERROR(MATCH(F106,C:C,0),0)</f>
        <v>0</v>
      </c>
      <c r="J106" s="7">
        <f>IFERROR(MATCH(F106,D:D,0),0)</f>
        <v>0</v>
      </c>
      <c r="K106" s="7" t="str">
        <f>IF(G106=0,IF(J106=0,"","30days"),"30days")</f>
        <v/>
      </c>
      <c r="L106" s="7" t="str">
        <f>IF(H106=0,"","transit")</f>
        <v/>
      </c>
      <c r="M106" s="7" t="str">
        <f>IF(I106=0,"","hainan")</f>
        <v/>
      </c>
    </row>
    <row r="107" spans="7:13" x14ac:dyDescent="0.2">
      <c r="G107" s="7">
        <f>IFERROR(MATCH(F107,A:A,0),0)</f>
        <v>0</v>
      </c>
      <c r="H107" s="7">
        <f>IFERROR(MATCH(F107,B:B,0),0)</f>
        <v>0</v>
      </c>
      <c r="I107" s="7">
        <f>IFERROR(MATCH(F107,C:C,0),0)</f>
        <v>0</v>
      </c>
      <c r="J107" s="7">
        <f>IFERROR(MATCH(F107,D:D,0),0)</f>
        <v>0</v>
      </c>
      <c r="K107" s="7" t="str">
        <f>IF(G107=0,IF(J107=0,"","30days"),"30days")</f>
        <v/>
      </c>
      <c r="L107" s="7" t="str">
        <f>IF(H107=0,"","transit")</f>
        <v/>
      </c>
      <c r="M107" s="7" t="str">
        <f>IF(I107=0,"","hainan")</f>
        <v/>
      </c>
    </row>
    <row r="108" spans="7:13" x14ac:dyDescent="0.2">
      <c r="G108" s="7">
        <f>IFERROR(MATCH(F108,A:A,0),0)</f>
        <v>0</v>
      </c>
      <c r="H108" s="7">
        <f>IFERROR(MATCH(F108,B:B,0),0)</f>
        <v>0</v>
      </c>
      <c r="I108" s="7">
        <f>IFERROR(MATCH(F108,C:C,0),0)</f>
        <v>0</v>
      </c>
      <c r="J108" s="7">
        <f>IFERROR(MATCH(F108,D:D,0),0)</f>
        <v>0</v>
      </c>
      <c r="K108" s="7" t="str">
        <f>IF(G108=0,IF(J108=0,"","30days"),"30days")</f>
        <v/>
      </c>
      <c r="L108" s="7" t="str">
        <f>IF(H108=0,"","transit")</f>
        <v/>
      </c>
      <c r="M108" s="7" t="str">
        <f>IF(I108=0,"","hainan")</f>
        <v/>
      </c>
    </row>
    <row r="109" spans="7:13" x14ac:dyDescent="0.2">
      <c r="G109" s="7">
        <f>IFERROR(MATCH(F109,A:A,0),0)</f>
        <v>0</v>
      </c>
      <c r="H109" s="7">
        <f>IFERROR(MATCH(F109,B:B,0),0)</f>
        <v>0</v>
      </c>
      <c r="I109" s="7">
        <f>IFERROR(MATCH(F109,C:C,0),0)</f>
        <v>0</v>
      </c>
      <c r="J109" s="7">
        <f>IFERROR(MATCH(F109,D:D,0),0)</f>
        <v>0</v>
      </c>
      <c r="K109" s="7" t="str">
        <f>IF(G109=0,IF(J109=0,"","30days"),"30days")</f>
        <v/>
      </c>
      <c r="L109" s="7" t="str">
        <f>IF(H109=0,"","transit")</f>
        <v/>
      </c>
      <c r="M109" s="7" t="str">
        <f>IF(I109=0,"","hainan")</f>
        <v/>
      </c>
    </row>
    <row r="110" spans="7:13" x14ac:dyDescent="0.2">
      <c r="G110" s="7">
        <f>IFERROR(MATCH(F110,A:A,0),0)</f>
        <v>0</v>
      </c>
      <c r="H110" s="7">
        <f>IFERROR(MATCH(F110,B:B,0),0)</f>
        <v>0</v>
      </c>
      <c r="I110" s="7">
        <f>IFERROR(MATCH(F110,C:C,0),0)</f>
        <v>0</v>
      </c>
      <c r="J110" s="7">
        <f>IFERROR(MATCH(F110,D:D,0),0)</f>
        <v>0</v>
      </c>
      <c r="K110" s="7" t="str">
        <f>IF(G110=0,IF(J110=0,"","30days"),"30days")</f>
        <v/>
      </c>
      <c r="L110" s="7" t="str">
        <f>IF(H110=0,"","transit")</f>
        <v/>
      </c>
      <c r="M110" s="7" t="str">
        <f>IF(I110=0,"","hainan")</f>
        <v/>
      </c>
    </row>
    <row r="111" spans="7:13" x14ac:dyDescent="0.2">
      <c r="G111" s="7">
        <f>IFERROR(MATCH(F111,A:A,0),0)</f>
        <v>0</v>
      </c>
      <c r="H111" s="7">
        <f>IFERROR(MATCH(F111,B:B,0),0)</f>
        <v>0</v>
      </c>
      <c r="I111" s="7">
        <f>IFERROR(MATCH(F111,C:C,0),0)</f>
        <v>0</v>
      </c>
      <c r="J111" s="7">
        <f>IFERROR(MATCH(F111,D:D,0),0)</f>
        <v>0</v>
      </c>
      <c r="K111" s="7" t="str">
        <f>IF(G111=0,IF(J111=0,"","30days"),"30days")</f>
        <v/>
      </c>
      <c r="L111" s="7" t="str">
        <f>IF(H111=0,"","transit")</f>
        <v/>
      </c>
      <c r="M111" s="7" t="str">
        <f>IF(I111=0,"","hainan")</f>
        <v/>
      </c>
    </row>
    <row r="112" spans="7:13" x14ac:dyDescent="0.2">
      <c r="G112" s="7">
        <f>IFERROR(MATCH(F112,A:A,0),0)</f>
        <v>0</v>
      </c>
      <c r="H112" s="7">
        <f>IFERROR(MATCH(F112,B:B,0),0)</f>
        <v>0</v>
      </c>
      <c r="I112" s="7">
        <f>IFERROR(MATCH(F112,C:C,0),0)</f>
        <v>0</v>
      </c>
      <c r="J112" s="7">
        <f>IFERROR(MATCH(F112,D:D,0),0)</f>
        <v>0</v>
      </c>
      <c r="K112" s="7" t="str">
        <f>IF(G112=0,IF(J112=0,"","30days"),"30days")</f>
        <v/>
      </c>
      <c r="L112" s="7" t="str">
        <f>IF(H112=0,"","transit")</f>
        <v/>
      </c>
      <c r="M112" s="7" t="str">
        <f>IF(I112=0,"","hainan")</f>
        <v/>
      </c>
    </row>
    <row r="113" spans="7:13" x14ac:dyDescent="0.2">
      <c r="G113" s="7">
        <f>IFERROR(MATCH(F113,A:A,0),0)</f>
        <v>0</v>
      </c>
      <c r="H113" s="7">
        <f>IFERROR(MATCH(F113,B:B,0),0)</f>
        <v>0</v>
      </c>
      <c r="I113" s="7">
        <f>IFERROR(MATCH(F113,C:C,0),0)</f>
        <v>0</v>
      </c>
      <c r="J113" s="7">
        <f>IFERROR(MATCH(F113,D:D,0),0)</f>
        <v>0</v>
      </c>
      <c r="K113" s="7" t="str">
        <f>IF(G113=0,IF(J113=0,"","30days"),"30days")</f>
        <v/>
      </c>
      <c r="L113" s="7" t="str">
        <f>IF(H113=0,"","transit")</f>
        <v/>
      </c>
      <c r="M113" s="7" t="str">
        <f>IF(I113=0,"","hainan")</f>
        <v/>
      </c>
    </row>
    <row r="114" spans="7:13" x14ac:dyDescent="0.2">
      <c r="G114" s="7">
        <f>IFERROR(MATCH(F114,A:A,0),0)</f>
        <v>0</v>
      </c>
      <c r="H114" s="7">
        <f>IFERROR(MATCH(F114,B:B,0),0)</f>
        <v>0</v>
      </c>
      <c r="I114" s="7">
        <f>IFERROR(MATCH(F114,C:C,0),0)</f>
        <v>0</v>
      </c>
      <c r="J114" s="7">
        <f>IFERROR(MATCH(F114,D:D,0),0)</f>
        <v>0</v>
      </c>
      <c r="K114" s="7" t="str">
        <f>IF(G114=0,IF(J114=0,"","30days"),"30days")</f>
        <v/>
      </c>
      <c r="L114" s="7" t="str">
        <f>IF(H114=0,"","transit")</f>
        <v/>
      </c>
      <c r="M114" s="7" t="str">
        <f>IF(I114=0,"","hainan")</f>
        <v/>
      </c>
    </row>
    <row r="115" spans="7:13" x14ac:dyDescent="0.2">
      <c r="G115" s="7">
        <f>IFERROR(MATCH(F115,A:A,0),0)</f>
        <v>0</v>
      </c>
      <c r="H115" s="7">
        <f>IFERROR(MATCH(F115,B:B,0),0)</f>
        <v>0</v>
      </c>
      <c r="I115" s="7">
        <f>IFERROR(MATCH(F115,C:C,0),0)</f>
        <v>0</v>
      </c>
      <c r="J115" s="7">
        <f>IFERROR(MATCH(F115,D:D,0),0)</f>
        <v>0</v>
      </c>
      <c r="K115" s="7" t="str">
        <f>IF(G115=0,IF(J115=0,"","30days"),"30days")</f>
        <v/>
      </c>
      <c r="L115" s="7" t="str">
        <f>IF(H115=0,"","transit")</f>
        <v/>
      </c>
      <c r="M115" s="7" t="str">
        <f>IF(I115=0,"","hainan")</f>
        <v/>
      </c>
    </row>
    <row r="116" spans="7:13" x14ac:dyDescent="0.2">
      <c r="G116" s="7">
        <f>IFERROR(MATCH(F116,A:A,0),0)</f>
        <v>0</v>
      </c>
      <c r="H116" s="7">
        <f>IFERROR(MATCH(F116,B:B,0),0)</f>
        <v>0</v>
      </c>
      <c r="I116" s="7">
        <f>IFERROR(MATCH(F116,C:C,0),0)</f>
        <v>0</v>
      </c>
      <c r="J116" s="7">
        <f>IFERROR(MATCH(F116,D:D,0),0)</f>
        <v>0</v>
      </c>
      <c r="K116" s="7" t="str">
        <f>IF(G116=0,IF(J116=0,"","30days"),"30days")</f>
        <v/>
      </c>
      <c r="L116" s="7" t="str">
        <f>IF(H116=0,"","transit")</f>
        <v/>
      </c>
      <c r="M116" s="7" t="str">
        <f>IF(I116=0,"","hainan")</f>
        <v/>
      </c>
    </row>
    <row r="117" spans="7:13" x14ac:dyDescent="0.2">
      <c r="G117" s="7">
        <f>IFERROR(MATCH(F117,A:A,0),0)</f>
        <v>0</v>
      </c>
      <c r="H117" s="7">
        <f>IFERROR(MATCH(F117,B:B,0),0)</f>
        <v>0</v>
      </c>
      <c r="I117" s="7">
        <f>IFERROR(MATCH(F117,C:C,0),0)</f>
        <v>0</v>
      </c>
      <c r="J117" s="7">
        <f>IFERROR(MATCH(F117,D:D,0),0)</f>
        <v>0</v>
      </c>
      <c r="K117" s="7" t="str">
        <f>IF(G117=0,IF(J117=0,"","30days"),"30days")</f>
        <v/>
      </c>
      <c r="L117" s="7" t="str">
        <f>IF(H117=0,"","transit")</f>
        <v/>
      </c>
      <c r="M117" s="7" t="str">
        <f>IF(I117=0,"","hainan")</f>
        <v/>
      </c>
    </row>
    <row r="118" spans="7:13" x14ac:dyDescent="0.2">
      <c r="G118" s="7">
        <f>IFERROR(MATCH(F118,A:A,0),0)</f>
        <v>0</v>
      </c>
      <c r="H118" s="7">
        <f>IFERROR(MATCH(F118,B:B,0),0)</f>
        <v>0</v>
      </c>
      <c r="I118" s="7">
        <f>IFERROR(MATCH(F118,C:C,0),0)</f>
        <v>0</v>
      </c>
      <c r="J118" s="7">
        <f>IFERROR(MATCH(F118,D:D,0),0)</f>
        <v>0</v>
      </c>
      <c r="K118" s="7" t="str">
        <f>IF(G118=0,IF(J118=0,"","30days"),"30days")</f>
        <v/>
      </c>
      <c r="L118" s="7" t="str">
        <f>IF(H118=0,"","transit")</f>
        <v/>
      </c>
      <c r="M118" s="7" t="str">
        <f>IF(I118=0,"","hainan")</f>
        <v/>
      </c>
    </row>
    <row r="119" spans="7:13" x14ac:dyDescent="0.2">
      <c r="G119" s="7">
        <f>IFERROR(MATCH(F119,A:A,0),0)</f>
        <v>0</v>
      </c>
      <c r="H119" s="7">
        <f>IFERROR(MATCH(F119,B:B,0),0)</f>
        <v>0</v>
      </c>
      <c r="I119" s="7">
        <f>IFERROR(MATCH(F119,C:C,0),0)</f>
        <v>0</v>
      </c>
      <c r="J119" s="7">
        <f>IFERROR(MATCH(F119,D:D,0),0)</f>
        <v>0</v>
      </c>
      <c r="K119" s="7" t="str">
        <f>IF(G119=0,IF(J119=0,"","30days"),"30days")</f>
        <v/>
      </c>
      <c r="L119" s="7" t="str">
        <f>IF(H119=0,"","transit")</f>
        <v/>
      </c>
      <c r="M119" s="7" t="str">
        <f>IF(I119=0,"","hainan")</f>
        <v/>
      </c>
    </row>
    <row r="120" spans="7:13" x14ac:dyDescent="0.2">
      <c r="G120" s="7">
        <f>IFERROR(MATCH(F120,A:A,0),0)</f>
        <v>0</v>
      </c>
      <c r="H120" s="7">
        <f>IFERROR(MATCH(F120,B:B,0),0)</f>
        <v>0</v>
      </c>
      <c r="I120" s="7">
        <f>IFERROR(MATCH(F120,C:C,0),0)</f>
        <v>0</v>
      </c>
      <c r="J120" s="7">
        <f>IFERROR(MATCH(F120,D:D,0),0)</f>
        <v>0</v>
      </c>
      <c r="K120" s="7" t="str">
        <f>IF(G120=0,IF(J120=0,"","30days"),"30days")</f>
        <v/>
      </c>
      <c r="L120" s="7" t="str">
        <f>IF(H120=0,"","transit")</f>
        <v/>
      </c>
      <c r="M120" s="7" t="str">
        <f>IF(I120=0,"","hainan")</f>
        <v/>
      </c>
    </row>
    <row r="121" spans="7:13" x14ac:dyDescent="0.2">
      <c r="G121" s="7">
        <f>IFERROR(MATCH(F121,A:A,0),0)</f>
        <v>0</v>
      </c>
      <c r="H121" s="7">
        <f>IFERROR(MATCH(F121,B:B,0),0)</f>
        <v>0</v>
      </c>
      <c r="I121" s="7">
        <f>IFERROR(MATCH(F121,C:C,0),0)</f>
        <v>0</v>
      </c>
      <c r="J121" s="7">
        <f>IFERROR(MATCH(F121,D:D,0),0)</f>
        <v>0</v>
      </c>
      <c r="K121" s="7" t="str">
        <f>IF(G121=0,IF(J121=0,"","30days"),"30days")</f>
        <v/>
      </c>
      <c r="L121" s="7" t="str">
        <f>IF(H121=0,"","transit")</f>
        <v/>
      </c>
      <c r="M121" s="7" t="str">
        <f>IF(I121=0,"","hainan")</f>
        <v/>
      </c>
    </row>
    <row r="122" spans="7:13" x14ac:dyDescent="0.2">
      <c r="G122" s="7">
        <f>IFERROR(MATCH(F122,A:A,0),0)</f>
        <v>0</v>
      </c>
      <c r="H122" s="7">
        <f>IFERROR(MATCH(F122,B:B,0),0)</f>
        <v>0</v>
      </c>
      <c r="I122" s="7">
        <f>IFERROR(MATCH(F122,C:C,0),0)</f>
        <v>0</v>
      </c>
      <c r="J122" s="7">
        <f>IFERROR(MATCH(F122,D:D,0),0)</f>
        <v>0</v>
      </c>
      <c r="K122" s="7" t="str">
        <f>IF(G122=0,IF(J122=0,"","30days"),"30days")</f>
        <v/>
      </c>
      <c r="L122" s="7" t="str">
        <f>IF(H122=0,"","transit")</f>
        <v/>
      </c>
      <c r="M122" s="7" t="str">
        <f>IF(I122=0,"","hainan")</f>
        <v/>
      </c>
    </row>
    <row r="123" spans="7:13" x14ac:dyDescent="0.2">
      <c r="G123" s="7">
        <f>IFERROR(MATCH(F123,A:A,0),0)</f>
        <v>0</v>
      </c>
      <c r="H123" s="7">
        <f>IFERROR(MATCH(F123,B:B,0),0)</f>
        <v>0</v>
      </c>
      <c r="I123" s="7">
        <f>IFERROR(MATCH(F123,C:C,0),0)</f>
        <v>0</v>
      </c>
      <c r="J123" s="7">
        <f>IFERROR(MATCH(F123,D:D,0),0)</f>
        <v>0</v>
      </c>
      <c r="K123" s="7" t="str">
        <f>IF(G123=0,IF(J123=0,"","30days"),"30days")</f>
        <v/>
      </c>
      <c r="L123" s="7" t="str">
        <f>IF(H123=0,"","transit")</f>
        <v/>
      </c>
      <c r="M123" s="7" t="str">
        <f>IF(I123=0,"","hainan")</f>
        <v/>
      </c>
    </row>
    <row r="124" spans="7:13" x14ac:dyDescent="0.2">
      <c r="G124" s="7">
        <f>IFERROR(MATCH(F124,A:A,0),0)</f>
        <v>0</v>
      </c>
      <c r="H124" s="7">
        <f>IFERROR(MATCH(F124,B:B,0),0)</f>
        <v>0</v>
      </c>
      <c r="I124" s="7">
        <f>IFERROR(MATCH(F124,C:C,0),0)</f>
        <v>0</v>
      </c>
      <c r="J124" s="7">
        <f>IFERROR(MATCH(F124,D:D,0),0)</f>
        <v>0</v>
      </c>
      <c r="K124" s="7" t="str">
        <f>IF(G124=0,IF(J124=0,"","30days"),"30days")</f>
        <v/>
      </c>
      <c r="L124" s="7" t="str">
        <f>IF(H124=0,"","transit")</f>
        <v/>
      </c>
      <c r="M124" s="7" t="str">
        <f>IF(I124=0,"","hainan")</f>
        <v/>
      </c>
    </row>
    <row r="125" spans="7:13" x14ac:dyDescent="0.2">
      <c r="G125" s="7">
        <f>IFERROR(MATCH(F125,A:A,0),0)</f>
        <v>0</v>
      </c>
      <c r="H125" s="7">
        <f>IFERROR(MATCH(F125,B:B,0),0)</f>
        <v>0</v>
      </c>
      <c r="I125" s="7">
        <f>IFERROR(MATCH(F125,C:C,0),0)</f>
        <v>0</v>
      </c>
      <c r="J125" s="7">
        <f>IFERROR(MATCH(F125,D:D,0),0)</f>
        <v>0</v>
      </c>
      <c r="K125" s="7" t="str">
        <f>IF(G125=0,IF(J125=0,"","30days"),"30days")</f>
        <v/>
      </c>
      <c r="L125" s="7" t="str">
        <f>IF(H125=0,"","transit")</f>
        <v/>
      </c>
      <c r="M125" s="7" t="str">
        <f>IF(I125=0,"","hainan")</f>
        <v/>
      </c>
    </row>
    <row r="126" spans="7:13" x14ac:dyDescent="0.2">
      <c r="G126" s="7">
        <f>IFERROR(MATCH(F126,A:A,0),0)</f>
        <v>0</v>
      </c>
      <c r="H126" s="7">
        <f>IFERROR(MATCH(F126,B:B,0),0)</f>
        <v>0</v>
      </c>
      <c r="I126" s="7">
        <f>IFERROR(MATCH(F126,C:C,0),0)</f>
        <v>0</v>
      </c>
      <c r="J126" s="7">
        <f>IFERROR(MATCH(F126,D:D,0),0)</f>
        <v>0</v>
      </c>
      <c r="K126" s="7" t="str">
        <f>IF(G126=0,IF(J126=0,"","30days"),"30days")</f>
        <v/>
      </c>
      <c r="L126" s="7" t="str">
        <f>IF(H126=0,"","transit")</f>
        <v/>
      </c>
      <c r="M126" s="7" t="str">
        <f>IF(I126=0,"","hainan")</f>
        <v/>
      </c>
    </row>
    <row r="127" spans="7:13" x14ac:dyDescent="0.2">
      <c r="G127" s="7">
        <f>IFERROR(MATCH(F127,A:A,0),0)</f>
        <v>0</v>
      </c>
      <c r="H127" s="7">
        <f>IFERROR(MATCH(F127,B:B,0),0)</f>
        <v>0</v>
      </c>
      <c r="I127" s="7">
        <f>IFERROR(MATCH(F127,C:C,0),0)</f>
        <v>0</v>
      </c>
      <c r="J127" s="7">
        <f>IFERROR(MATCH(F127,D:D,0),0)</f>
        <v>0</v>
      </c>
      <c r="K127" s="7" t="str">
        <f>IF(G127=0,IF(J127=0,"","30days"),"30days")</f>
        <v/>
      </c>
      <c r="L127" s="7" t="str">
        <f>IF(H127=0,"","transit")</f>
        <v/>
      </c>
      <c r="M127" s="7" t="str">
        <f>IF(I127=0,"","hainan")</f>
        <v/>
      </c>
    </row>
    <row r="128" spans="7:13" x14ac:dyDescent="0.2">
      <c r="G128" s="7">
        <f>IFERROR(MATCH(F128,A:A,0),0)</f>
        <v>0</v>
      </c>
      <c r="H128" s="7">
        <f>IFERROR(MATCH(F128,B:B,0),0)</f>
        <v>0</v>
      </c>
      <c r="I128" s="7">
        <f>IFERROR(MATCH(F128,C:C,0),0)</f>
        <v>0</v>
      </c>
      <c r="J128" s="7">
        <f>IFERROR(MATCH(F128,D:D,0),0)</f>
        <v>0</v>
      </c>
      <c r="K128" s="7" t="str">
        <f>IF(G128=0,IF(J128=0,"","30days"),"30days")</f>
        <v/>
      </c>
      <c r="L128" s="7" t="str">
        <f>IF(H128=0,"","transit")</f>
        <v/>
      </c>
      <c r="M128" s="7" t="str">
        <f>IF(I128=0,"","hainan")</f>
        <v/>
      </c>
    </row>
    <row r="129" spans="7:13" x14ac:dyDescent="0.2">
      <c r="G129" s="7">
        <f>IFERROR(MATCH(F129,A:A,0),0)</f>
        <v>0</v>
      </c>
      <c r="H129" s="7">
        <f>IFERROR(MATCH(F129,B:B,0),0)</f>
        <v>0</v>
      </c>
      <c r="I129" s="7">
        <f>IFERROR(MATCH(F129,C:C,0),0)</f>
        <v>0</v>
      </c>
      <c r="J129" s="7">
        <f>IFERROR(MATCH(F129,D:D,0),0)</f>
        <v>0</v>
      </c>
      <c r="K129" s="7" t="str">
        <f>IF(G129=0,IF(J129=0,"","30days"),"30days")</f>
        <v/>
      </c>
      <c r="L129" s="7" t="str">
        <f>IF(H129=0,"","transit")</f>
        <v/>
      </c>
      <c r="M129" s="7" t="str">
        <f>IF(I129=0,"","hainan")</f>
        <v/>
      </c>
    </row>
    <row r="130" spans="7:13" x14ac:dyDescent="0.2">
      <c r="G130" s="7">
        <f>IFERROR(MATCH(F130,A:A,0),0)</f>
        <v>0</v>
      </c>
      <c r="H130" s="7">
        <f>IFERROR(MATCH(F130,B:B,0),0)</f>
        <v>0</v>
      </c>
      <c r="I130" s="7">
        <f>IFERROR(MATCH(F130,C:C,0),0)</f>
        <v>0</v>
      </c>
      <c r="J130" s="7">
        <f>IFERROR(MATCH(F130,D:D,0),0)</f>
        <v>0</v>
      </c>
      <c r="K130" s="7" t="str">
        <f>IF(G130=0,IF(J130=0,"","30days"),"30days")</f>
        <v/>
      </c>
      <c r="L130" s="7" t="str">
        <f>IF(H130=0,"","transit")</f>
        <v/>
      </c>
      <c r="M130" s="7" t="str">
        <f>IF(I130=0,"","hainan")</f>
        <v/>
      </c>
    </row>
    <row r="131" spans="7:13" x14ac:dyDescent="0.2">
      <c r="G131" s="7">
        <f>IFERROR(MATCH(F131,A:A,0),0)</f>
        <v>0</v>
      </c>
      <c r="H131" s="7">
        <f>IFERROR(MATCH(F131,B:B,0),0)</f>
        <v>0</v>
      </c>
      <c r="I131" s="7">
        <f>IFERROR(MATCH(F131,C:C,0),0)</f>
        <v>0</v>
      </c>
      <c r="J131" s="7">
        <f>IFERROR(MATCH(F131,D:D,0),0)</f>
        <v>0</v>
      </c>
      <c r="K131" s="7" t="str">
        <f>IF(G131=0,IF(J131=0,"","30days"),"30days")</f>
        <v/>
      </c>
      <c r="L131" s="7" t="str">
        <f>IF(H131=0,"","transit")</f>
        <v/>
      </c>
      <c r="M131" s="7" t="str">
        <f>IF(I131=0,"","hainan")</f>
        <v/>
      </c>
    </row>
    <row r="132" spans="7:13" x14ac:dyDescent="0.2">
      <c r="G132" s="7">
        <f>IFERROR(MATCH(F132,A:A,0),0)</f>
        <v>0</v>
      </c>
      <c r="H132" s="7">
        <f>IFERROR(MATCH(F132,B:B,0),0)</f>
        <v>0</v>
      </c>
      <c r="I132" s="7">
        <f>IFERROR(MATCH(F132,C:C,0),0)</f>
        <v>0</v>
      </c>
      <c r="J132" s="7">
        <f>IFERROR(MATCH(F132,D:D,0),0)</f>
        <v>0</v>
      </c>
      <c r="K132" s="7" t="str">
        <f>IF(G132=0,IF(J132=0,"","30days"),"30days")</f>
        <v/>
      </c>
      <c r="L132" s="7" t="str">
        <f>IF(H132=0,"","transit")</f>
        <v/>
      </c>
      <c r="M132" s="7" t="str">
        <f>IF(I132=0,"","hainan")</f>
        <v/>
      </c>
    </row>
    <row r="133" spans="7:13" x14ac:dyDescent="0.2">
      <c r="G133" s="7">
        <f>IFERROR(MATCH(F133,A:A,0),0)</f>
        <v>0</v>
      </c>
      <c r="H133" s="7">
        <f>IFERROR(MATCH(F133,B:B,0),0)</f>
        <v>0</v>
      </c>
      <c r="I133" s="7">
        <f>IFERROR(MATCH(F133,C:C,0),0)</f>
        <v>0</v>
      </c>
      <c r="J133" s="7">
        <f>IFERROR(MATCH(F133,D:D,0),0)</f>
        <v>0</v>
      </c>
      <c r="K133" s="7" t="str">
        <f>IF(G133=0,IF(J133=0,"","30days"),"30days")</f>
        <v/>
      </c>
      <c r="L133" s="7" t="str">
        <f>IF(H133=0,"","transit")</f>
        <v/>
      </c>
      <c r="M133" s="7" t="str">
        <f>IF(I133=0,"","hainan")</f>
        <v/>
      </c>
    </row>
    <row r="134" spans="7:13" x14ac:dyDescent="0.2">
      <c r="G134" s="7">
        <f>IFERROR(MATCH(F134,A:A,0),0)</f>
        <v>0</v>
      </c>
      <c r="H134" s="7">
        <f>IFERROR(MATCH(F134,B:B,0),0)</f>
        <v>0</v>
      </c>
      <c r="I134" s="7">
        <f>IFERROR(MATCH(F134,C:C,0),0)</f>
        <v>0</v>
      </c>
      <c r="J134" s="7">
        <f>IFERROR(MATCH(F134,D:D,0),0)</f>
        <v>0</v>
      </c>
      <c r="K134" s="7" t="str">
        <f>IF(G134=0,IF(J134=0,"","30days"),"30days")</f>
        <v/>
      </c>
      <c r="L134" s="7" t="str">
        <f>IF(H134=0,"","transit")</f>
        <v/>
      </c>
      <c r="M134" s="7" t="str">
        <f>IF(I134=0,"","hainan")</f>
        <v/>
      </c>
    </row>
    <row r="135" spans="7:13" x14ac:dyDescent="0.2">
      <c r="G135" s="7">
        <f>IFERROR(MATCH(F135,A:A,0),0)</f>
        <v>0</v>
      </c>
      <c r="H135" s="7">
        <f>IFERROR(MATCH(F135,B:B,0),0)</f>
        <v>0</v>
      </c>
      <c r="I135" s="7">
        <f>IFERROR(MATCH(F135,C:C,0),0)</f>
        <v>0</v>
      </c>
      <c r="J135" s="7">
        <f>IFERROR(MATCH(F135,D:D,0),0)</f>
        <v>0</v>
      </c>
      <c r="K135" s="7" t="str">
        <f>IF(G135=0,IF(J135=0,"","30days"),"30days")</f>
        <v/>
      </c>
      <c r="L135" s="7" t="str">
        <f>IF(H135=0,"","transit")</f>
        <v/>
      </c>
      <c r="M135" s="7" t="str">
        <f>IF(I135=0,"","hainan")</f>
        <v/>
      </c>
    </row>
    <row r="136" spans="7:13" x14ac:dyDescent="0.2">
      <c r="G136" s="7">
        <f>IFERROR(MATCH(F136,A:A,0),0)</f>
        <v>0</v>
      </c>
      <c r="H136" s="7">
        <f>IFERROR(MATCH(F136,B:B,0),0)</f>
        <v>0</v>
      </c>
      <c r="I136" s="7">
        <f>IFERROR(MATCH(F136,C:C,0),0)</f>
        <v>0</v>
      </c>
      <c r="J136" s="7">
        <f>IFERROR(MATCH(F136,D:D,0),0)</f>
        <v>0</v>
      </c>
      <c r="K136" s="7" t="str">
        <f>IF(G136=0,IF(J136=0,"","30days"),"30days")</f>
        <v/>
      </c>
      <c r="L136" s="7" t="str">
        <f>IF(H136=0,"","transit")</f>
        <v/>
      </c>
      <c r="M136" s="7" t="str">
        <f>IF(I136=0,"","hainan")</f>
        <v/>
      </c>
    </row>
    <row r="137" spans="7:13" x14ac:dyDescent="0.2">
      <c r="G137" s="7">
        <f>IFERROR(MATCH(F137,A:A,0),0)</f>
        <v>0</v>
      </c>
      <c r="H137" s="7">
        <f>IFERROR(MATCH(F137,B:B,0),0)</f>
        <v>0</v>
      </c>
      <c r="I137" s="7">
        <f>IFERROR(MATCH(F137,C:C,0),0)</f>
        <v>0</v>
      </c>
      <c r="J137" s="7">
        <f>IFERROR(MATCH(F137,D:D,0),0)</f>
        <v>0</v>
      </c>
      <c r="K137" s="7" t="str">
        <f>IF(G137=0,IF(J137=0,"","30days"),"30days")</f>
        <v/>
      </c>
      <c r="L137" s="7" t="str">
        <f>IF(H137=0,"","transit")</f>
        <v/>
      </c>
      <c r="M137" s="7" t="str">
        <f>IF(I137=0,"","hainan")</f>
        <v/>
      </c>
    </row>
    <row r="138" spans="7:13" x14ac:dyDescent="0.2">
      <c r="G138" s="7">
        <f>IFERROR(MATCH(F138,A:A,0),0)</f>
        <v>0</v>
      </c>
      <c r="H138" s="7">
        <f>IFERROR(MATCH(F138,B:B,0),0)</f>
        <v>0</v>
      </c>
      <c r="I138" s="7">
        <f>IFERROR(MATCH(F138,C:C,0),0)</f>
        <v>0</v>
      </c>
      <c r="J138" s="7">
        <f>IFERROR(MATCH(F138,D:D,0),0)</f>
        <v>0</v>
      </c>
      <c r="K138" s="7" t="str">
        <f>IF(G138=0,IF(J138=0,"","30days"),"30days")</f>
        <v/>
      </c>
      <c r="L138" s="7" t="str">
        <f>IF(H138=0,"","transit")</f>
        <v/>
      </c>
      <c r="M138" s="7" t="str">
        <f>IF(I138=0,"","hainan")</f>
        <v/>
      </c>
    </row>
    <row r="139" spans="7:13" x14ac:dyDescent="0.2">
      <c r="G139" s="7">
        <f>IFERROR(MATCH(F139,A:A,0),0)</f>
        <v>0</v>
      </c>
      <c r="H139" s="7">
        <f>IFERROR(MATCH(F139,B:B,0),0)</f>
        <v>0</v>
      </c>
      <c r="I139" s="7">
        <f>IFERROR(MATCH(F139,C:C,0),0)</f>
        <v>0</v>
      </c>
      <c r="J139" s="7">
        <f>IFERROR(MATCH(F139,D:D,0),0)</f>
        <v>0</v>
      </c>
      <c r="K139" s="7" t="str">
        <f>IF(G139=0,IF(J139=0,"","30days"),"30days")</f>
        <v/>
      </c>
      <c r="L139" s="7" t="str">
        <f>IF(H139=0,"","transit")</f>
        <v/>
      </c>
      <c r="M139" s="7" t="str">
        <f>IF(I139=0,"","hainan")</f>
        <v/>
      </c>
    </row>
    <row r="140" spans="7:13" x14ac:dyDescent="0.2">
      <c r="G140" s="7">
        <f>IFERROR(MATCH(F140,A:A,0),0)</f>
        <v>0</v>
      </c>
      <c r="H140" s="7">
        <f>IFERROR(MATCH(F140,B:B,0),0)</f>
        <v>0</v>
      </c>
      <c r="I140" s="7">
        <f>IFERROR(MATCH(F140,C:C,0),0)</f>
        <v>0</v>
      </c>
      <c r="J140" s="7">
        <f>IFERROR(MATCH(F140,D:D,0),0)</f>
        <v>0</v>
      </c>
      <c r="K140" s="7" t="str">
        <f>IF(G140=0,IF(J140=0,"","30days"),"30days")</f>
        <v/>
      </c>
      <c r="L140" s="7" t="str">
        <f>IF(H140=0,"","transit")</f>
        <v/>
      </c>
      <c r="M140" s="7" t="str">
        <f>IF(I140=0,"","hainan")</f>
        <v/>
      </c>
    </row>
    <row r="141" spans="7:13" x14ac:dyDescent="0.2">
      <c r="G141" s="7">
        <f>IFERROR(MATCH(F141,A:A,0),0)</f>
        <v>0</v>
      </c>
      <c r="H141" s="7">
        <f>IFERROR(MATCH(F141,B:B,0),0)</f>
        <v>0</v>
      </c>
      <c r="I141" s="7">
        <f>IFERROR(MATCH(F141,C:C,0),0)</f>
        <v>0</v>
      </c>
      <c r="J141" s="7">
        <f>IFERROR(MATCH(F141,D:D,0),0)</f>
        <v>0</v>
      </c>
      <c r="K141" s="7" t="str">
        <f>IF(G141=0,IF(J141=0,"","30days"),"30days")</f>
        <v/>
      </c>
      <c r="L141" s="7" t="str">
        <f>IF(H141=0,"","transit")</f>
        <v/>
      </c>
      <c r="M141" s="7" t="str">
        <f>IF(I141=0,"","hainan")</f>
        <v/>
      </c>
    </row>
    <row r="142" spans="7:13" x14ac:dyDescent="0.2">
      <c r="G142" s="7">
        <f>IFERROR(MATCH(F142,A:A,0),0)</f>
        <v>0</v>
      </c>
      <c r="H142" s="7">
        <f>IFERROR(MATCH(F142,B:B,0),0)</f>
        <v>0</v>
      </c>
      <c r="I142" s="7">
        <f>IFERROR(MATCH(F142,C:C,0),0)</f>
        <v>0</v>
      </c>
      <c r="J142" s="7">
        <f>IFERROR(MATCH(F142,D:D,0),0)</f>
        <v>0</v>
      </c>
      <c r="K142" s="7" t="str">
        <f>IF(G142=0,IF(J142=0,"","30days"),"30days")</f>
        <v/>
      </c>
      <c r="L142" s="7" t="str">
        <f>IF(H142=0,"","transit")</f>
        <v/>
      </c>
      <c r="M142" s="7" t="str">
        <f>IF(I142=0,"","hainan")</f>
        <v/>
      </c>
    </row>
    <row r="143" spans="7:13" x14ac:dyDescent="0.2">
      <c r="G143" s="7">
        <f>IFERROR(MATCH(F143,A:A,0),0)</f>
        <v>0</v>
      </c>
      <c r="H143" s="7">
        <f>IFERROR(MATCH(F143,B:B,0),0)</f>
        <v>0</v>
      </c>
      <c r="I143" s="7">
        <f>IFERROR(MATCH(F143,C:C,0),0)</f>
        <v>0</v>
      </c>
      <c r="J143" s="7">
        <f>IFERROR(MATCH(F143,D:D,0),0)</f>
        <v>0</v>
      </c>
      <c r="K143" s="7" t="str">
        <f>IF(G143=0,IF(J143=0,"","30days"),"30days")</f>
        <v/>
      </c>
      <c r="L143" s="7" t="str">
        <f>IF(H143=0,"","transit")</f>
        <v/>
      </c>
      <c r="M143" s="7" t="str">
        <f>IF(I143=0,"","hainan")</f>
        <v/>
      </c>
    </row>
    <row r="144" spans="7:13" x14ac:dyDescent="0.2">
      <c r="G144" s="7">
        <f>IFERROR(MATCH(F144,A:A,0),0)</f>
        <v>0</v>
      </c>
      <c r="H144" s="7">
        <f>IFERROR(MATCH(F144,B:B,0),0)</f>
        <v>0</v>
      </c>
      <c r="I144" s="7">
        <f>IFERROR(MATCH(F144,C:C,0),0)</f>
        <v>0</v>
      </c>
      <c r="J144" s="7">
        <f>IFERROR(MATCH(F144,D:D,0),0)</f>
        <v>0</v>
      </c>
      <c r="K144" s="7" t="str">
        <f>IF(G144=0,IF(J144=0,"","30days"),"30days")</f>
        <v/>
      </c>
      <c r="L144" s="7" t="str">
        <f>IF(H144=0,"","transit")</f>
        <v/>
      </c>
      <c r="M144" s="7" t="str">
        <f>IF(I144=0,"","hainan")</f>
        <v/>
      </c>
    </row>
    <row r="145" spans="7:13" x14ac:dyDescent="0.2">
      <c r="G145" s="7">
        <f>IFERROR(MATCH(F145,A:A,0),0)</f>
        <v>0</v>
      </c>
      <c r="H145" s="7">
        <f>IFERROR(MATCH(F145,B:B,0),0)</f>
        <v>0</v>
      </c>
      <c r="I145" s="7">
        <f>IFERROR(MATCH(F145,C:C,0),0)</f>
        <v>0</v>
      </c>
      <c r="J145" s="7">
        <f>IFERROR(MATCH(F145,D:D,0),0)</f>
        <v>0</v>
      </c>
      <c r="K145" s="7" t="str">
        <f>IF(G145=0,IF(J145=0,"","30days"),"30days")</f>
        <v/>
      </c>
      <c r="L145" s="7" t="str">
        <f>IF(H145=0,"","transit")</f>
        <v/>
      </c>
      <c r="M145" s="7" t="str">
        <f>IF(I145=0,"","hainan")</f>
        <v/>
      </c>
    </row>
    <row r="146" spans="7:13" x14ac:dyDescent="0.2">
      <c r="G146" s="7">
        <f>IFERROR(MATCH(F146,A:A,0),0)</f>
        <v>0</v>
      </c>
      <c r="H146" s="7">
        <f>IFERROR(MATCH(F146,B:B,0),0)</f>
        <v>0</v>
      </c>
      <c r="I146" s="7">
        <f>IFERROR(MATCH(F146,C:C,0),0)</f>
        <v>0</v>
      </c>
      <c r="J146" s="7">
        <f>IFERROR(MATCH(F146,D:D,0),0)</f>
        <v>0</v>
      </c>
      <c r="K146" s="7" t="str">
        <f>IF(G146=0,IF(J146=0,"","30days"),"30days")</f>
        <v/>
      </c>
      <c r="L146" s="7" t="str">
        <f>IF(H146=0,"","transit")</f>
        <v/>
      </c>
      <c r="M146" s="7" t="str">
        <f>IF(I146=0,"","hainan")</f>
        <v/>
      </c>
    </row>
    <row r="147" spans="7:13" x14ac:dyDescent="0.2">
      <c r="G147" s="7">
        <f>IFERROR(MATCH(F147,A:A,0),0)</f>
        <v>0</v>
      </c>
      <c r="H147" s="7">
        <f>IFERROR(MATCH(F147,B:B,0),0)</f>
        <v>0</v>
      </c>
      <c r="I147" s="7">
        <f>IFERROR(MATCH(F147,C:C,0),0)</f>
        <v>0</v>
      </c>
      <c r="J147" s="7">
        <f>IFERROR(MATCH(F147,D:D,0),0)</f>
        <v>0</v>
      </c>
      <c r="K147" s="7" t="str">
        <f>IF(G147=0,IF(J147=0,"","30days"),"30days")</f>
        <v/>
      </c>
      <c r="L147" s="7" t="str">
        <f>IF(H147=0,"","transit")</f>
        <v/>
      </c>
      <c r="M147" s="7" t="str">
        <f>IF(I147=0,"","hainan")</f>
        <v/>
      </c>
    </row>
    <row r="148" spans="7:13" x14ac:dyDescent="0.2">
      <c r="G148" s="7">
        <f>IFERROR(MATCH(F148,A:A,0),0)</f>
        <v>0</v>
      </c>
      <c r="H148" s="7">
        <f>IFERROR(MATCH(F148,B:B,0),0)</f>
        <v>0</v>
      </c>
      <c r="I148" s="7">
        <f>IFERROR(MATCH(F148,C:C,0),0)</f>
        <v>0</v>
      </c>
      <c r="J148" s="7">
        <f>IFERROR(MATCH(F148,D:D,0),0)</f>
        <v>0</v>
      </c>
      <c r="K148" s="7" t="str">
        <f>IF(G148=0,IF(J148=0,"","30days"),"30days")</f>
        <v/>
      </c>
      <c r="L148" s="7" t="str">
        <f>IF(H148=0,"","transit")</f>
        <v/>
      </c>
      <c r="M148" s="7" t="str">
        <f>IF(I148=0,"","hainan")</f>
        <v/>
      </c>
    </row>
    <row r="149" spans="7:13" x14ac:dyDescent="0.2">
      <c r="G149" s="7">
        <f>IFERROR(MATCH(F149,A:A,0),0)</f>
        <v>0</v>
      </c>
      <c r="H149" s="7">
        <f>IFERROR(MATCH(F149,B:B,0),0)</f>
        <v>0</v>
      </c>
      <c r="I149" s="7">
        <f>IFERROR(MATCH(F149,C:C,0),0)</f>
        <v>0</v>
      </c>
      <c r="J149" s="7">
        <f>IFERROR(MATCH(F149,D:D,0),0)</f>
        <v>0</v>
      </c>
      <c r="K149" s="7" t="str">
        <f>IF(G149=0,IF(J149=0,"","30days"),"30days")</f>
        <v/>
      </c>
      <c r="L149" s="7" t="str">
        <f>IF(H149=0,"","transit")</f>
        <v/>
      </c>
      <c r="M149" s="7" t="str">
        <f>IF(I149=0,"","hainan")</f>
        <v/>
      </c>
    </row>
    <row r="150" spans="7:13" x14ac:dyDescent="0.2">
      <c r="G150" s="7">
        <f>IFERROR(MATCH(F150,A:A,0),0)</f>
        <v>0</v>
      </c>
      <c r="H150" s="7">
        <f>IFERROR(MATCH(F150,B:B,0),0)</f>
        <v>0</v>
      </c>
      <c r="I150" s="7">
        <f>IFERROR(MATCH(F150,C:C,0),0)</f>
        <v>0</v>
      </c>
      <c r="J150" s="7">
        <f>IFERROR(MATCH(F150,D:D,0),0)</f>
        <v>0</v>
      </c>
      <c r="K150" s="7" t="str">
        <f>IF(G150=0,IF(J150=0,"","30days"),"30days")</f>
        <v/>
      </c>
      <c r="L150" s="7" t="str">
        <f>IF(H150=0,"","transit")</f>
        <v/>
      </c>
      <c r="M150" s="7" t="str">
        <f>IF(I150=0,"","hainan")</f>
        <v/>
      </c>
    </row>
    <row r="151" spans="7:13" x14ac:dyDescent="0.2">
      <c r="G151" s="7">
        <f>IFERROR(MATCH(F151,A:A,0),0)</f>
        <v>0</v>
      </c>
      <c r="H151" s="7">
        <f>IFERROR(MATCH(F151,B:B,0),0)</f>
        <v>0</v>
      </c>
      <c r="I151" s="7">
        <f>IFERROR(MATCH(F151,C:C,0),0)</f>
        <v>0</v>
      </c>
      <c r="J151" s="7">
        <f>IFERROR(MATCH(F151,D:D,0),0)</f>
        <v>0</v>
      </c>
      <c r="K151" s="7" t="str">
        <f>IF(G151=0,IF(J151=0,"","30days"),"30days")</f>
        <v/>
      </c>
      <c r="L151" s="7" t="str">
        <f>IF(H151=0,"","transit")</f>
        <v/>
      </c>
      <c r="M151" s="7" t="str">
        <f>IF(I151=0,"","hainan")</f>
        <v/>
      </c>
    </row>
    <row r="152" spans="7:13" x14ac:dyDescent="0.2">
      <c r="G152" s="7">
        <f>IFERROR(MATCH(F152,A:A,0),0)</f>
        <v>0</v>
      </c>
      <c r="H152" s="7">
        <f>IFERROR(MATCH(F152,B:B,0),0)</f>
        <v>0</v>
      </c>
      <c r="I152" s="7">
        <f>IFERROR(MATCH(F152,C:C,0),0)</f>
        <v>0</v>
      </c>
      <c r="J152" s="7">
        <f>IFERROR(MATCH(F152,D:D,0),0)</f>
        <v>0</v>
      </c>
      <c r="K152" s="7" t="str">
        <f>IF(G152=0,IF(J152=0,"","30days"),"30days")</f>
        <v/>
      </c>
      <c r="L152" s="7" t="str">
        <f>IF(H152=0,"","transit")</f>
        <v/>
      </c>
      <c r="M152" s="7" t="str">
        <f>IF(I152=0,"","hainan")</f>
        <v/>
      </c>
    </row>
    <row r="153" spans="7:13" x14ac:dyDescent="0.2">
      <c r="G153" s="7">
        <f>IFERROR(MATCH(F153,A:A,0),0)</f>
        <v>0</v>
      </c>
      <c r="H153" s="7">
        <f>IFERROR(MATCH(F153,B:B,0),0)</f>
        <v>0</v>
      </c>
      <c r="I153" s="7">
        <f>IFERROR(MATCH(F153,C:C,0),0)</f>
        <v>0</v>
      </c>
      <c r="J153" s="7">
        <f>IFERROR(MATCH(F153,D:D,0),0)</f>
        <v>0</v>
      </c>
      <c r="K153" s="7" t="str">
        <f>IF(G153=0,IF(J153=0,"","30days"),"30days")</f>
        <v/>
      </c>
      <c r="L153" s="7" t="str">
        <f>IF(H153=0,"","transit")</f>
        <v/>
      </c>
      <c r="M153" s="7" t="str">
        <f>IF(I153=0,"","hainan")</f>
        <v/>
      </c>
    </row>
    <row r="154" spans="7:13" x14ac:dyDescent="0.2">
      <c r="G154" s="7">
        <f>IFERROR(MATCH(F154,A:A,0),0)</f>
        <v>0</v>
      </c>
      <c r="H154" s="7">
        <f>IFERROR(MATCH(F154,B:B,0),0)</f>
        <v>0</v>
      </c>
      <c r="I154" s="7">
        <f>IFERROR(MATCH(F154,C:C,0),0)</f>
        <v>0</v>
      </c>
      <c r="J154" s="7">
        <f>IFERROR(MATCH(F154,D:D,0),0)</f>
        <v>0</v>
      </c>
      <c r="K154" s="7" t="str">
        <f>IF(G154=0,IF(J154=0,"","30days"),"30days")</f>
        <v/>
      </c>
      <c r="L154" s="7" t="str">
        <f>IF(H154=0,"","transit")</f>
        <v/>
      </c>
      <c r="M154" s="7" t="str">
        <f>IF(I154=0,"","hainan")</f>
        <v/>
      </c>
    </row>
    <row r="155" spans="7:13" x14ac:dyDescent="0.2">
      <c r="G155" s="7">
        <f>IFERROR(MATCH(F155,A:A,0),0)</f>
        <v>0</v>
      </c>
      <c r="H155" s="7">
        <f>IFERROR(MATCH(F155,B:B,0),0)</f>
        <v>0</v>
      </c>
      <c r="I155" s="7">
        <f>IFERROR(MATCH(F155,C:C,0),0)</f>
        <v>0</v>
      </c>
      <c r="J155" s="7">
        <f>IFERROR(MATCH(F155,D:D,0),0)</f>
        <v>0</v>
      </c>
      <c r="K155" s="7" t="str">
        <f>IF(G155=0,IF(J155=0,"","30days"),"30days")</f>
        <v/>
      </c>
      <c r="L155" s="7" t="str">
        <f>IF(H155=0,"","transit")</f>
        <v/>
      </c>
      <c r="M155" s="7" t="str">
        <f>IF(I155=0,"","hainan")</f>
        <v/>
      </c>
    </row>
    <row r="156" spans="7:13" x14ac:dyDescent="0.2">
      <c r="G156" s="7">
        <f>IFERROR(MATCH(F156,A:A,0),0)</f>
        <v>0</v>
      </c>
      <c r="H156" s="7">
        <f>IFERROR(MATCH(F156,B:B,0),0)</f>
        <v>0</v>
      </c>
      <c r="I156" s="7">
        <f>IFERROR(MATCH(F156,C:C,0),0)</f>
        <v>0</v>
      </c>
      <c r="J156" s="7">
        <f>IFERROR(MATCH(F156,D:D,0),0)</f>
        <v>0</v>
      </c>
      <c r="K156" s="7" t="str">
        <f>IF(G156=0,IF(J156=0,"","30days"),"30days")</f>
        <v/>
      </c>
      <c r="L156" s="7" t="str">
        <f>IF(H156=0,"","transit")</f>
        <v/>
      </c>
      <c r="M156" s="7" t="str">
        <f>IF(I156=0,"","hainan")</f>
        <v/>
      </c>
    </row>
    <row r="157" spans="7:13" x14ac:dyDescent="0.2">
      <c r="G157" s="7">
        <f>IFERROR(MATCH(F157,A:A,0),0)</f>
        <v>0</v>
      </c>
      <c r="H157" s="7">
        <f>IFERROR(MATCH(F157,B:B,0),0)</f>
        <v>0</v>
      </c>
      <c r="I157" s="7">
        <f>IFERROR(MATCH(F157,C:C,0),0)</f>
        <v>0</v>
      </c>
      <c r="J157" s="7">
        <f>IFERROR(MATCH(F157,D:D,0),0)</f>
        <v>0</v>
      </c>
      <c r="K157" s="7" t="str">
        <f>IF(G157=0,IF(J157=0,"","30days"),"30days")</f>
        <v/>
      </c>
      <c r="L157" s="7" t="str">
        <f>IF(H157=0,"","transit")</f>
        <v/>
      </c>
      <c r="M157" s="7" t="str">
        <f>IF(I157=0,"","hainan")</f>
        <v/>
      </c>
    </row>
    <row r="158" spans="7:13" x14ac:dyDescent="0.2">
      <c r="G158" s="7">
        <f>IFERROR(MATCH(F158,A:A,0),0)</f>
        <v>0</v>
      </c>
      <c r="H158" s="7">
        <f>IFERROR(MATCH(F158,B:B,0),0)</f>
        <v>0</v>
      </c>
      <c r="I158" s="7">
        <f>IFERROR(MATCH(F158,C:C,0),0)</f>
        <v>0</v>
      </c>
      <c r="J158" s="7">
        <f>IFERROR(MATCH(F158,D:D,0),0)</f>
        <v>0</v>
      </c>
      <c r="K158" s="7" t="str">
        <f>IF(G158=0,IF(J158=0,"","30days"),"30days")</f>
        <v/>
      </c>
      <c r="L158" s="7" t="str">
        <f>IF(H158=0,"","transit")</f>
        <v/>
      </c>
      <c r="M158" s="7" t="str">
        <f>IF(I158=0,"","hainan")</f>
        <v/>
      </c>
    </row>
    <row r="159" spans="7:13" x14ac:dyDescent="0.2">
      <c r="G159" s="7">
        <f>IFERROR(MATCH(F159,A:A,0),0)</f>
        <v>0</v>
      </c>
      <c r="H159" s="7">
        <f>IFERROR(MATCH(F159,B:B,0),0)</f>
        <v>0</v>
      </c>
      <c r="I159" s="7">
        <f>IFERROR(MATCH(F159,C:C,0),0)</f>
        <v>0</v>
      </c>
      <c r="J159" s="7">
        <f>IFERROR(MATCH(F159,D:D,0),0)</f>
        <v>0</v>
      </c>
      <c r="K159" s="7" t="str">
        <f>IF(G159=0,IF(J159=0,"","30days"),"30days")</f>
        <v/>
      </c>
      <c r="L159" s="7" t="str">
        <f>IF(H159=0,"","transit")</f>
        <v/>
      </c>
      <c r="M159" s="7" t="str">
        <f>IF(I159=0,"","hainan")</f>
        <v/>
      </c>
    </row>
    <row r="160" spans="7:13" x14ac:dyDescent="0.2">
      <c r="G160" s="7">
        <f>IFERROR(MATCH(F160,A:A,0),0)</f>
        <v>0</v>
      </c>
      <c r="H160" s="7">
        <f>IFERROR(MATCH(F160,B:B,0),0)</f>
        <v>0</v>
      </c>
      <c r="I160" s="7">
        <f>IFERROR(MATCH(F160,C:C,0),0)</f>
        <v>0</v>
      </c>
      <c r="J160" s="7">
        <f>IFERROR(MATCH(F160,D:D,0),0)</f>
        <v>0</v>
      </c>
      <c r="K160" s="7" t="str">
        <f>IF(G160=0,IF(J160=0,"","30days"),"30days")</f>
        <v/>
      </c>
      <c r="L160" s="7" t="str">
        <f>IF(H160=0,"","transit")</f>
        <v/>
      </c>
      <c r="M160" s="7" t="str">
        <f>IF(I160=0,"","hainan")</f>
        <v/>
      </c>
    </row>
    <row r="161" spans="7:13" x14ac:dyDescent="0.2">
      <c r="G161" s="7">
        <f>IFERROR(MATCH(F161,A:A,0),0)</f>
        <v>0</v>
      </c>
      <c r="H161" s="7">
        <f>IFERROR(MATCH(F161,B:B,0),0)</f>
        <v>0</v>
      </c>
      <c r="I161" s="7">
        <f>IFERROR(MATCH(F161,C:C,0),0)</f>
        <v>0</v>
      </c>
      <c r="J161" s="7">
        <f>IFERROR(MATCH(F161,D:D,0),0)</f>
        <v>0</v>
      </c>
      <c r="K161" s="7" t="str">
        <f>IF(G161=0,IF(J161=0,"","30days"),"30days")</f>
        <v/>
      </c>
      <c r="L161" s="7" t="str">
        <f>IF(H161=0,"","transit")</f>
        <v/>
      </c>
      <c r="M161" s="7" t="str">
        <f>IF(I161=0,"","hainan")</f>
        <v/>
      </c>
    </row>
    <row r="162" spans="7:13" x14ac:dyDescent="0.2">
      <c r="G162" s="7">
        <f>IFERROR(MATCH(F162,A:A,0),0)</f>
        <v>0</v>
      </c>
      <c r="H162" s="7">
        <f>IFERROR(MATCH(F162,B:B,0),0)</f>
        <v>0</v>
      </c>
      <c r="I162" s="7">
        <f>IFERROR(MATCH(F162,C:C,0),0)</f>
        <v>0</v>
      </c>
      <c r="J162" s="7">
        <f>IFERROR(MATCH(F162,D:D,0),0)</f>
        <v>0</v>
      </c>
      <c r="K162" s="7" t="str">
        <f>IF(G162=0,IF(J162=0,"","30days"),"30days")</f>
        <v/>
      </c>
      <c r="L162" s="7" t="str">
        <f>IF(H162=0,"","transit")</f>
        <v/>
      </c>
      <c r="M162" s="7" t="str">
        <f>IF(I162=0,"","hainan")</f>
        <v/>
      </c>
    </row>
    <row r="163" spans="7:13" x14ac:dyDescent="0.2">
      <c r="G163" s="7">
        <f>IFERROR(MATCH(F163,A:A,0),0)</f>
        <v>0</v>
      </c>
      <c r="H163" s="7">
        <f>IFERROR(MATCH(F163,B:B,0),0)</f>
        <v>0</v>
      </c>
      <c r="I163" s="7">
        <f>IFERROR(MATCH(F163,C:C,0),0)</f>
        <v>0</v>
      </c>
      <c r="J163" s="7">
        <f>IFERROR(MATCH(F163,D:D,0),0)</f>
        <v>0</v>
      </c>
      <c r="K163" s="7" t="str">
        <f>IF(G163=0,IF(J163=0,"","30days"),"30days")</f>
        <v/>
      </c>
      <c r="L163" s="7" t="str">
        <f>IF(H163=0,"","transit")</f>
        <v/>
      </c>
      <c r="M163" s="7" t="str">
        <f>IF(I163=0,"","hainan")</f>
        <v/>
      </c>
    </row>
    <row r="164" spans="7:13" x14ac:dyDescent="0.2">
      <c r="G164" s="7">
        <f>IFERROR(MATCH(F164,A:A,0),0)</f>
        <v>0</v>
      </c>
      <c r="H164" s="7">
        <f>IFERROR(MATCH(F164,B:B,0),0)</f>
        <v>0</v>
      </c>
      <c r="I164" s="7">
        <f>IFERROR(MATCH(F164,C:C,0),0)</f>
        <v>0</v>
      </c>
      <c r="J164" s="7">
        <f>IFERROR(MATCH(F164,D:D,0),0)</f>
        <v>0</v>
      </c>
      <c r="K164" s="7" t="str">
        <f>IF(G164=0,IF(J164=0,"","30days"),"30days")</f>
        <v/>
      </c>
      <c r="L164" s="7" t="str">
        <f>IF(H164=0,"","transit")</f>
        <v/>
      </c>
      <c r="M164" s="7" t="str">
        <f>IF(I164=0,"","hainan")</f>
        <v/>
      </c>
    </row>
  </sheetData>
  <autoFilter ref="F1:O164" xr:uid="{0CEF5D7F-54E7-504B-B839-24FCAA28C438}">
    <sortState xmlns:xlrd2="http://schemas.microsoft.com/office/spreadsheetml/2017/richdata2" ref="F2:O164">
      <sortCondition ref="F1:F164"/>
    </sortState>
  </autoFilter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2026-03-23T01:59:39Z</dcterms:created>
  <dcterms:modified xsi:type="dcterms:W3CDTF">2026-03-23T10:08:37Z</dcterms:modified>
</cp:coreProperties>
</file>